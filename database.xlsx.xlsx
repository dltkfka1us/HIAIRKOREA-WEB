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MSDS_DB" sheetId="2" r:id="rId6"/>
    <sheet state="visible" name="facilities" sheetId="3" r:id="rId7"/>
    <sheet state="visible" name="Calendar" sheetId="4" r:id="rId8"/>
    <sheet state="visible" name="News" sheetId="5" r:id="rId9"/>
    <sheet state="visible" name="Kosha" sheetId="6" r:id="rId10"/>
    <sheet state="visible" name="Edu_DB" sheetId="7" r:id="rId11"/>
    <sheet state="visible" name="TBM" sheetId="8" r:id="rId12"/>
    <sheet state="visible" name="TBM_DB" sheetId="9" r:id="rId13"/>
    <sheet state="visible" name="Suggest" sheetId="10" r:id="rId14"/>
    <sheet state="visible" name="Stress" sheetId="11" r:id="rId15"/>
    <sheet state="visible" name="Stress_DB" sheetId="12" r:id="rId16"/>
    <sheet state="visible" name="Legal_DB" sheetId="13" r:id="rId17"/>
    <sheet state="visible" name="Legal_Log" sheetId="14" r:id="rId18"/>
    <sheet state="visible" name="AI" sheetId="15" r:id="rId19"/>
    <sheet state="visible" name="AI_DB" sheetId="16" r:id="rId20"/>
    <sheet state="visible" name="Holiday" sheetId="17" r:id="rId21"/>
    <sheet state="visible" name="QR" sheetId="18" r:id="rId22"/>
    <sheet state="visible" name="Risk_DB" sheetId="19" r:id="rId23"/>
    <sheet state="visible" name="Risk_Survey" sheetId="20" r:id="rId24"/>
    <sheet state="visible" name="Risk_Data" sheetId="21" r:id="rId25"/>
    <sheet state="visible" name="Risk_Dict" sheetId="22" r:id="rId26"/>
    <sheet state="visible" name="Risk_History" sheetId="23" r:id="rId27"/>
    <sheet state="visible" name="Vendor" sheetId="24" r:id="rId28"/>
    <sheet state="visible" name="Template" sheetId="25" r:id="rId29"/>
  </sheets>
  <definedNames>
    <definedName hidden="1" localSheetId="6" name="_xlnm._FilterDatabase">Edu_DB!$B$1:$D$539</definedName>
  </definedNames>
  <calcPr/>
</workbook>
</file>

<file path=xl/sharedStrings.xml><?xml version="1.0" encoding="utf-8"?>
<sst xmlns="http://schemas.openxmlformats.org/spreadsheetml/2006/main" count="4947" uniqueCount="2214">
  <si>
    <t>No</t>
  </si>
  <si>
    <t>Key</t>
  </si>
  <si>
    <t>Value</t>
  </si>
  <si>
    <t>물질명</t>
  </si>
  <si>
    <t>Description</t>
  </si>
  <si>
    <t>Slogan</t>
  </si>
  <si>
    <t>제조사</t>
  </si>
  <si>
    <t>개정일</t>
  </si>
  <si>
    <t>URL</t>
  </si>
  <si>
    <t>D-day</t>
  </si>
  <si>
    <t>다운로드수</t>
  </si>
  <si>
    <t>뉴스 검색 키워드</t>
  </si>
  <si>
    <t>생성일시</t>
  </si>
  <si>
    <t>뉴스 강조 키워드</t>
  </si>
  <si>
    <t>이미지URL</t>
  </si>
  <si>
    <t>신호어</t>
  </si>
  <si>
    <t>H-CODE</t>
  </si>
  <si>
    <t>P-CODE</t>
  </si>
  <si>
    <t>KC-28</t>
  </si>
  <si>
    <t>고려용접봉 창원공장</t>
  </si>
  <si>
    <t>[{"name":"17.고려용접봉 KC-28.pdf","url":"https://drive.google.com/file/d/1JQdAVzb2XTt5iZbNGCOEspxwEeWXuaH8/view?usp=drivesdk"}]</t>
  </si>
  <si>
    <t>https://drive.google.com/thumbnail?id=1TmyX_AdYeQ2j6GHOgqVs1jhyQiius7TM&amp;sz=w400</t>
  </si>
  <si>
    <t>ADMIN_PASSWORD</t>
  </si>
  <si>
    <t>HI</t>
  </si>
  <si>
    <t>관리자(전체 권한) 비밀번호</t>
  </si>
  <si>
    <t>안전은 타협할 수 없는 최고의 가치입니다.</t>
  </si>
  <si>
    <t>산업안전보건공단</t>
  </si>
  <si>
    <t>NOTICE_PASSWORD</t>
  </si>
  <si>
    <t>HAK</t>
  </si>
  <si>
    <t>자극성,급성독성</t>
  </si>
  <si>
    <t>공지사항 관리자 비밀번호</t>
  </si>
  <si>
    <t>안전은 누가 보는 곳이 아니라 내 마음에서 시작됩니다.</t>
  </si>
  <si>
    <t>위험</t>
  </si>
  <si>
    <t>H317, H334, H371, H373</t>
  </si>
  <si>
    <t>P260, P261, P264, P270, P272, P280, P284, P302+P352, P304+P340, P308+P311, P314, P321, P333+P313, P342+P311, P362+P364, P405, P501</t>
  </si>
  <si>
    <t>고용노동부</t>
  </si>
  <si>
    <t>산업안전보건</t>
  </si>
  <si>
    <t>Stainless Steel Coat</t>
  </si>
  <si>
    <t>한국쓰리엠</t>
  </si>
  <si>
    <t>[{"name":"3M STAINLESS STEELCOAT L-316 Bright(MC011)(2017).pdf","url":"https://drive.google.com/file/d/1HuilCGHWOxPCBNFSEdQCjWvxOE1y1liR/view?usp=drivesdk"}]</t>
  </si>
  <si>
    <t>ID</t>
  </si>
  <si>
    <t>인화성,고압가스,급성독성,자극성,발암성</t>
  </si>
  <si>
    <t>H222,H280,H229,H319,H315,H317,H304,H336,H360,H370,H372,H412</t>
  </si>
  <si>
    <t>P201,P202,P210,P211,P251,P260,P261,P271,P280D,P280B,P280A</t>
  </si>
  <si>
    <t>날짜</t>
  </si>
  <si>
    <t>SS-COAT 909 (에스에스-코트 909)</t>
  </si>
  <si>
    <t>남방CNA(주)</t>
  </si>
  <si>
    <t>제목</t>
  </si>
  <si>
    <t>[{"name":"2. 남방CNA SS-COAT 909 (2024).pdf","url":"https://drive.google.com/file/d/1M1cgDtj9KHAJM7AdXGZNEmcJiQTdVKeD/view?usp=drivesdk"}]</t>
  </si>
  <si>
    <t>색상</t>
  </si>
  <si>
    <t>CERT_ROOT_FOLDER_ID</t>
  </si>
  <si>
    <t>작성자</t>
  </si>
  <si>
    <t>16mu6QKJaGxWQQPQr_KAjRK96NoJNMrm4</t>
  </si>
  <si>
    <t>https://drive.google.com/thumbnail?id=1HTAptNvNJS-z36aSHTHu4HpI_qsyZEMM&amp;sz=w400</t>
  </si>
  <si>
    <t>서명 저장 폴더 ID</t>
  </si>
  <si>
    <t>생성일</t>
  </si>
  <si>
    <t>실수는 되돌릴 수 있지만 사고는 되돌릴 수 없습니다.</t>
  </si>
  <si>
    <t>이름</t>
  </si>
  <si>
    <t>중대재해</t>
  </si>
  <si>
    <t>중대시민재해</t>
  </si>
  <si>
    <t>인화성,고압가스,부식성,자극성,발암성,환경유해성</t>
  </si>
  <si>
    <t>TEMPLATE_ID</t>
  </si>
  <si>
    <t>H222,H229,H220,H280,H225,H315,H319,H317,H361,H336,H372,H304,H411</t>
  </si>
  <si>
    <t>1gqWyZbhOGjlNpmYuivawhiJIokOQ8WeyLlNhVUMbwZ0</t>
  </si>
  <si>
    <t>P201,P202,P210,P211,P233,P240,P241,P242,P243,P251,P260,P261,P264,P270,P271,P272,P273,P280,P301+P310,P302+P352,P303+P361+P353,P304+P340,P305+P351+P338,P308+P313,P312,P314,P321,P331,P332+P313</t>
  </si>
  <si>
    <t>수료증 템플릿 파일 ID</t>
  </si>
  <si>
    <t>K-309LT</t>
  </si>
  <si>
    <t>건강검진 1일차 (08:00)</t>
  </si>
  <si>
    <t>서두르는 1분보다 확인하는 5초가 더 빠릅니다.</t>
  </si>
  <si>
    <t>#3b82f6</t>
  </si>
  <si>
    <t>산업재해</t>
  </si>
  <si>
    <t>[{"name":"19. 고려용접봉 K-309LT.pdf","url":"https://drive.google.com/file/d/11JuiIF0iHCUo4Cxjvpu22AmSJ7OMI8zz/view?usp=drivesdk"}]</t>
  </si>
  <si>
    <t>이호성</t>
  </si>
  <si>
    <t>안전보건공단</t>
  </si>
  <si>
    <t>https://drive.google.com/thumbnail?id=1PfU98dh4i_mb16sWcwFMEHx6EITwpohm&amp;sz=w400</t>
  </si>
  <si>
    <t>서민수</t>
  </si>
  <si>
    <t>보라</t>
  </si>
  <si>
    <t>철강 3사, 지난해 모두 사망사고…안전지표 개선도 '숙제' - 데이터뉴스</t>
  </si>
  <si>
    <t>건강검진 2일차 (08:00)</t>
  </si>
  <si>
    <t>PDF_FOLDER_ID</t>
  </si>
  <si>
    <t>데이터뉴스</t>
  </si>
  <si>
    <t>1GwjEOZnB2zZdH8-a5a0BaP73IPQAjeCh</t>
  </si>
  <si>
    <t>수료증 저장 폴더 ID</t>
  </si>
  <si>
    <t>이정환</t>
  </si>
  <si>
    <t>안전의 완성은 보호구 착용에서 시작됩니다.</t>
  </si>
  <si>
    <t>초록</t>
  </si>
  <si>
    <t>산업안전보건법</t>
  </si>
  <si>
    <t>자극성,발암성</t>
  </si>
  <si>
    <t>건강검진 3일차 (08:00)</t>
  </si>
  <si>
    <t>H317, H334, H351, H373</t>
  </si>
  <si>
    <t>P201, P202, P260, P261, P272, P280, P284, P302+P352, P304+P340, P308+P313, P314, P321, P333+P313, P342+P311, P362+P364, P405, P501</t>
  </si>
  <si>
    <t>T-316L</t>
  </si>
  <si>
    <t>파랑</t>
  </si>
  <si>
    <t>AI_FOLDER_ID</t>
  </si>
  <si>
    <t>[{"name":"21. 고려용접봉 T-316L.pdf","url":"https://drive.google.com/file/d/1EOeb4mHP94_UKlr9dbiA-3UzLrOcCvhz/view?usp=drivesdk"}]</t>
  </si>
  <si>
    <t>산업안전보건위원회 (13:30)</t>
  </si>
  <si>
    <t>1zsLXvkTJ59uMwMRawB8HgYe-foPWVgUV</t>
  </si>
  <si>
    <t>https://drive.google.com/thumbnail?id=1W7-kNFLrksrLXC0HOCkM8CzLyOEUaxgO&amp;sz=w400</t>
  </si>
  <si>
    <t>AI 데이터 저장 폴더 ID</t>
  </si>
  <si>
    <t>작업 전 TBM은 사고를 막는 가장 확실한 예방입니다.</t>
  </si>
  <si>
    <t>김다운</t>
  </si>
  <si>
    <t>중대재해처벌법</t>
  </si>
  <si>
    <t>주황</t>
  </si>
  <si>
    <t>고용부</t>
  </si>
  <si>
    <t>부서 회의 (13:30)</t>
  </si>
  <si>
    <t>evt_1780903064918</t>
  </si>
  <si>
    <t>권은비, 필라테스 추락 사고 당했다…"구멍으로 빠져" [스타이슈] - 네이트</t>
  </si>
  <si>
    <t>출산 휴가</t>
  </si>
  <si>
    <t>네이트</t>
  </si>
  <si>
    <t>ADMIN_SPREADSHEET_ID</t>
  </si>
  <si>
    <t>1zxk92FpJEW5k8hqbrFoAsr3i4zbXwsY37pmlScop6lY</t>
  </si>
  <si>
    <t>evt_1780903068677</t>
  </si>
  <si>
    <t>관리자 스프레드시트 ID</t>
  </si>
  <si>
    <t>자극성,발암성,급성독성,환경유해성</t>
  </si>
  <si>
    <t>설마 하는 '아차사고' 다시 보면 '중대재해'의 신호입니다.</t>
  </si>
  <si>
    <t>사망</t>
  </si>
  <si>
    <t>H317, H351, H372, H412</t>
  </si>
  <si>
    <t>evt_1780903071085</t>
  </si>
  <si>
    <t>P201, P202, P260, P261, P264, P270, P272, P273, P280, P302+P352, P308+P313, P314, P321, P333+P313, P362+P364, P405, P501</t>
  </si>
  <si>
    <t>K-316LT</t>
  </si>
  <si>
    <t>KISWEL</t>
  </si>
  <si>
    <t>[{"name":"22. 고려용접봉 K-316LT.pdf","url":"https://drive.google.com/file/d/1yyY-W9_GBqGNs9OdAZUKEuCrzIp1rgbP/view?usp=drivesdk"}]</t>
  </si>
  <si>
    <t>evt_1780903072600</t>
  </si>
  <si>
    <t>BACKUP_FOLDER_ID</t>
  </si>
  <si>
    <t>https://drive.google.com/thumbnail?id=1eie7FjuHOBXpKrhRKa92ZAJPjxxMW4dx&amp;sz=w400</t>
  </si>
  <si>
    <t>1V3pPFV2AkhPiJ7-sG1UOA0xVCRW8Nc8h</t>
  </si>
  <si>
    <t>자동 백업본 저장 폴더 ID</t>
  </si>
  <si>
    <t>쾌적한 작업 환경은 우리 모두가 함께 만듭니다.</t>
  </si>
  <si>
    <t>evt_1780903074620</t>
  </si>
  <si>
    <t>사고</t>
  </si>
  <si>
    <t>경산시, 재해 매뉴얼 개정…예방부터 사고 수습까지 정비 - 데일리한국</t>
  </si>
  <si>
    <t>데일리한국</t>
  </si>
  <si>
    <t>evt_1782717966843</t>
  </si>
  <si>
    <t>UPLOAD_FOLDER_ID</t>
  </si>
  <si>
    <t>1xEYMCwe5QlxqZIklrsEDOAsyFEqkoRwE</t>
  </si>
  <si>
    <t>업로드 파일 폴더 ID</t>
  </si>
  <si>
    <t>evt_1782717974303</t>
  </si>
  <si>
    <t>모르는 위험은 사고가 되고 아는 위험은 예방이 됩니다.</t>
  </si>
  <si>
    <t>안전보건</t>
  </si>
  <si>
    <t>자극성,발암성,급성독성</t>
  </si>
  <si>
    <t>H317, H334, H351, H372, H373</t>
  </si>
  <si>
    <t>P201, P202, P260, P261, P264, P270, P272, P280, P284, P302+P352, P304+P340, P308+P313, P314, P333+P313, P342+P311, P362+P364, P405, P501</t>
  </si>
  <si>
    <t>evt_1782717978894</t>
  </si>
  <si>
    <t>T-50</t>
  </si>
  <si>
    <t>MSDS_FOLDER_ID</t>
  </si>
  <si>
    <t>1zBVRkerjFgdNhzCpYsnWOd-dl0WzBtbT</t>
  </si>
  <si>
    <t>MSDS 파일 폴더 ID</t>
  </si>
  <si>
    <t>세상에서 가장 소중한 가치는 바로 당신의 생명입니다.</t>
  </si>
  <si>
    <t>[{"name":"23. 고려용접봉 T-50.pdf","url":"https://drive.google.com/file/d/1mTFLnwczRptkPrONkfimeMMALD1r1cZ0/view?usp=drivesdk"}]</t>
  </si>
  <si>
    <t>동래구, 안전 실천 결의대회 개최… “중대재해 없는 안전한 일터 다짐” - 시사매거진</t>
  </si>
  <si>
    <t>노동부</t>
  </si>
  <si>
    <t>시사매거진</t>
  </si>
  <si>
    <t>자극성</t>
  </si>
  <si>
    <t>T-309L</t>
  </si>
  <si>
    <t>evt_1782717992099</t>
  </si>
  <si>
    <t>[{"name":"24. 고려용접봉 T-309L.pdf","url":"https://drive.google.com/file/d/1mMjw9BDp4gbaDCykwlcMRFyCpex4J8_z/view?usp=drivesdk"}]</t>
  </si>
  <si>
    <t>MSDS_PASSWORD</t>
  </si>
  <si>
    <t>MSDS 관리자 비밀번호</t>
  </si>
  <si>
    <t>가장 완벽한 작업은 사고 없이 가족의 품으로 돌아가는 것입니다.</t>
  </si>
  <si>
    <t>https://drive.google.com/thumbnail?id=1RncmomJhOae5gvu9G2t9856vnmDPrpJW&amp;sz=w400</t>
  </si>
  <si>
    <t>evt_1782717996699</t>
  </si>
  <si>
    <t>동료의 불안전한 행동을 지적하는 것은 배려이자 사랑입니다.</t>
  </si>
  <si>
    <t>HD현대중공업 군산조선소 끼임 사고로 사망자 1명 발생 - 디지털투데이</t>
  </si>
  <si>
    <t>evt_1782718001127</t>
  </si>
  <si>
    <t>디지털투데이</t>
  </si>
  <si>
    <t>자극성,발암성,환경유해성</t>
  </si>
  <si>
    <t>H317, H351, H372, H373, H412</t>
  </si>
  <si>
    <t>이산화탄소</t>
  </si>
  <si>
    <t>경부가스(주)</t>
  </si>
  <si>
    <t>[{"name":"30. 경부가스 용접 이산화탄소.pdf","url":"https://drive.google.com/file/d/1phtG46xyBQR3jLKukriIuucScBJ9L9tE/view?usp=drivesdk"}]</t>
  </si>
  <si>
    <t>evt_1782718005390</t>
  </si>
  <si>
    <t>고압가스,환경유해성</t>
  </si>
  <si>
    <t>경고</t>
  </si>
  <si>
    <t>H280, H402</t>
  </si>
  <si>
    <t>안전은 나를 위한 약속이자 가족을 위한 책임입니다.</t>
  </si>
  <si>
    <t>P273, P410+P403, P501</t>
  </si>
  <si>
    <t>안전</t>
  </si>
  <si>
    <t>아르곤</t>
  </si>
  <si>
    <t>서울시설공단, 산업재해 예방 유공 고용노동부 장관표창 수상 - 전국매일신문</t>
  </si>
  <si>
    <t>evt_1782718009687</t>
  </si>
  <si>
    <t>전국매일신문</t>
  </si>
  <si>
    <t>[{"name":"32. 경부가스 용접 아르곤.pdf","url":"https://drive.google.com/file/d/14uZT-IsJ-49tjRdc9XvzMG-3aRY8KcyU/view?usp=drivesdk"}]</t>
  </si>
  <si>
    <t>고압가스</t>
  </si>
  <si>
    <t>안전은 선택이 아니라 우리가 지켜야 할 의무입니다.</t>
  </si>
  <si>
    <t>H280</t>
  </si>
  <si>
    <t>P410, P403</t>
  </si>
  <si>
    <t>evt_1782718014306</t>
  </si>
  <si>
    <t>보건</t>
  </si>
  <si>
    <t>Loctite 272 Threadlocker</t>
  </si>
  <si>
    <t>헨켈코리아(유)</t>
  </si>
  <si>
    <t>[{"name":"17. 헨켈코리아Loctite 272 (2022).PDF","url":"https://drive.google.com/file/d/1cEbdpirFmB6MpPF2V1uLzlYylC37n3mK/view?usp=drivesdk"}]</t>
  </si>
  <si>
    <t>https://drive.google.com/thumbnail?id=1kpC3nALBfIfQ91FVJtqCjeybcV7sHXv1&amp;sz=w400</t>
  </si>
  <si>
    <t>현대중공업 반복되는 중대재해…'안전불감증' 논란, 이상균 부회장 안전경영 시험대 - 스포츠조선</t>
  </si>
  <si>
    <t>원칙을 지키는 당신이 우리 회사의 진정한 전문가입니다.</t>
  </si>
  <si>
    <t>스포츠조선</t>
  </si>
  <si>
    <t>산재</t>
  </si>
  <si>
    <t>급성독성,자극성</t>
  </si>
  <si>
    <t>안전에는 베테랑이 없습니다.</t>
  </si>
  <si>
    <t>H317, H319, H330, H335, H412</t>
  </si>
  <si>
    <t>P260, P264, P271, P272, P273, P280, P284, P302+P352, P304+P340+P310, P305+P351+P338, P333+P313, P337+P313, P362+P364, P403+P233, P405, P501</t>
  </si>
  <si>
    <t>참사</t>
  </si>
  <si>
    <t>프리미엄 K-70+ 스프레이</t>
  </si>
  <si>
    <t>[{"name":"3M 프리미엄 K-70+(2023).pdf","url":"https://drive.google.com/file/d/1Ywb2iIAlAYqer0AMW1Cw0Ys3IHD4Zyti/view?usp=drivesdk"}]</t>
  </si>
  <si>
    <t>https://drive.google.com/thumbnail?id=1zGkvVyFsux1K0yfGAa-Dght9q6DUkKbH&amp;sz=w400</t>
  </si>
  <si>
    <t>기계체조 또 추락 사고 "고통에 몸부림"…'목뼈 부상' 이틀 만에 비극→18세 유망주, 영연방 대회서 착지하다 무릎 중상 - 네이트</t>
  </si>
  <si>
    <t>예고 없는 사고를 막는 유일한 방법은 예방뿐입니다.</t>
  </si>
  <si>
    <t>폭발</t>
  </si>
  <si>
    <t>안전은 내가 먼저, 실천은 지금 즉시!</t>
  </si>
  <si>
    <t>인화성,고압가스,자극성,환경유해성</t>
  </si>
  <si>
    <t>끼임</t>
  </si>
  <si>
    <t>H222, H229, H336, H370, H411</t>
  </si>
  <si>
    <t>P210, P211, P251, P260, P264, P270, P271, P273, P304+P340, P308+P311, P391, P403+P233, P405, P410+P412, P501</t>
  </si>
  <si>
    <t>Kixx ATF DX-III</t>
  </si>
  <si>
    <t>비행기 추락사고 생존자가 24년만에 펴낸 삶의 기록 - 재외동포신문</t>
  </si>
  <si>
    <t>지에스칼텍스(주)</t>
  </si>
  <si>
    <t>재외동포신문</t>
  </si>
  <si>
    <t>[{"name":"GS칼텍스 Kixx ATF DX-III(2023).pdf","url":"https://drive.google.com/file/d/1eErkdQEnsXZwWRA3wA5b8WM1Gi2ChrQ9/view?usp=drivesdk"}]</t>
  </si>
  <si>
    <t>https://drive.google.com/thumbnail?id=15TYQH3mh6bcLg9NA0lSCZRfkV_x0dNA9&amp;sz=w400</t>
  </si>
  <si>
    <t>가벼운 스트레칭 5분으로 근골격계 질환을 예방할 수 있습니다.</t>
  </si>
  <si>
    <t>산안법</t>
  </si>
  <si>
    <t>서로에게 건네는 격려 한마디가 마음을 지키는 가장 따뜻한 보호구입니다.</t>
  </si>
  <si>
    <t>중처법</t>
  </si>
  <si>
    <t>-</t>
  </si>
  <si>
    <t>Kixx M 2T FB</t>
  </si>
  <si>
    <t>[{"name":"GS칼텍스 Kixx G1 SP 5W-30(2020).pdf","url":"https://drive.google.com/file/d/1Oeqy2GSE_ItKB_4GNt3K-gFS0dSReWQe/view?usp=drivesdk"}]</t>
  </si>
  <si>
    <t>중대 재해</t>
  </si>
  <si>
    <t>중소기업 안전투자 생존전략: 2026년 상반기 산재 감소가 증명한 정부 지원 활용법 - 한국AI부동산신문</t>
  </si>
  <si>
    <t>한국AI부동산신문</t>
  </si>
  <si>
    <t>https://drive.google.com/thumbnail?id=18NadGJblC2ZmiIG8f0x8opWrxnpsGP-T&amp;sz=w400</t>
  </si>
  <si>
    <t>중대재해법</t>
  </si>
  <si>
    <t>H351, H412</t>
  </si>
  <si>
    <t>P201, P202, P273, P280, P308+P313, P405, P501</t>
  </si>
  <si>
    <t>Kixx RD HD 32 (P)</t>
  </si>
  <si>
    <t>[{"name":"GS칼텍스 kixx RD HD 32 (2023).pdf","url":"https://drive.google.com/file/d/1TA6Td9Ol089tbl6Bc9FQZs_cmWH6VRMz/view?usp=drivesdk"}]</t>
  </si>
  <si>
    <t>군산 조선소서 30대 근로자 끼임 사고로 인해 사망 - 전민일보</t>
  </si>
  <si>
    <t>https://drive.google.com/thumbnail?id=1qxijgqKFit2aeBD7cagjFPhNEjVDhVJn&amp;sz=w400</t>
  </si>
  <si>
    <t>전민일보</t>
  </si>
  <si>
    <t>LCP-77 진청색 N400 (엘씨피-77 진청색 엔400)</t>
  </si>
  <si>
    <t>(주)나바켐</t>
  </si>
  <si>
    <t>[{"name":"LCP-77 진청색 (2020).pdf","url":"https://drive.google.com/file/d/1Twz-fo1SxBrYeOrchio0fwPLqE1no9I9/view?usp=drivesdk"}]</t>
  </si>
  <si>
    <t>‘중대재해 대응’ 막막한 중소기업, ‘안전장비 대여’로 숨통 튼다 - 경인일보</t>
  </si>
  <si>
    <t>경인일보</t>
  </si>
  <si>
    <t>https://drive.google.com/thumbnail?id=1IYLGtWQNvZjh0scIV7QF693GHgbj-UNS&amp;sz=w400</t>
  </si>
  <si>
    <t>공공기관 산재 971건, 5년 새 최다…코레일 124건 1위 - 한겨레</t>
  </si>
  <si>
    <t>한겨레</t>
  </si>
  <si>
    <t>H222, H229, H220, H280, H225, H315, H319, H351, H361, H335, H336, H373, H304</t>
  </si>
  <si>
    <t>P201, P202, P210, P211, P233, P240, P241, P242, P243, P251, P260, P261, P264, P271, P280, P301+P310, P302+P352, P303+P361+P353, P304+P340, P305+P351+P338, P308+P313, P312, P314, P321, P331, P332+P313, P337+P313, P362+P364, P370+P378, P377, P381, P403+P233, P403+P235, P405, P410+P403, P410+P412, P501</t>
  </si>
  <si>
    <t>Shell Tellus S2 MX 46</t>
  </si>
  <si>
    <t>한국쉘석유(주)</t>
  </si>
  <si>
    <t>[{"name":"한국쉘석유 shell Tellus S2 MX 46 (2024).PDF","url":"https://drive.google.com/file/d/1G2eVx_-yHY89Is79Woe1xxJtlChDs6A9/view?usp=drivesdk"}]</t>
  </si>
  <si>
    <t>https://drive.google.com/thumbnail?id=1FDzF93mLP-i6A7FbsZPa310HX89xYVej&amp;sz=w400</t>
  </si>
  <si>
    <t>한전 충북본부, 산업재해 예방 '안전문화 확산' 총력 - 충청일보</t>
  </si>
  <si>
    <t>충청일보</t>
  </si>
  <si>
    <t>포항·경주 폭염중대경보…고용노동부 포항지청, 취약사업장 긴급 점검 - 경북매일</t>
  </si>
  <si>
    <t>경북매일</t>
  </si>
  <si>
    <t>비더블유-백(BW-100)</t>
  </si>
  <si>
    <t>벡스인터코퍼레이션(주)</t>
  </si>
  <si>
    <t>[{"name":"벡스인터코퍼레이션 BW-100 (2022).pdf","url":"https://drive.google.com/file/d/1OJ-xSa6h_e2qYL-jGCp_KeJkO_Y_rI5X/view?usp=drivesdk"}]</t>
  </si>
  <si>
    <t>https://drive.google.com/thumbnail?id=11doR48SuPbOpsVSCSHX51OTQqKDlT4I1&amp;sz=w400</t>
  </si>
  <si>
    <t>공단 안산병원, 보건관리 우수사례 발표대회 '고용노동부 장관상' 수상 - 청년의사</t>
  </si>
  <si>
    <t>청년의사</t>
  </si>
  <si>
    <t>고압가스,자극성</t>
  </si>
  <si>
    <t>H280, H319, H412</t>
  </si>
  <si>
    <t>P264, P273, P280, P305+P351+P338, P337+P313, P410+P403, P501</t>
  </si>
  <si>
    <t>T-2594</t>
  </si>
  <si>
    <t>[{"name":"30. 고려용접봉 T-2594(2023).pdf","url":"https://drive.google.com/file/d/1I-bBCpzlahW7nw32ZZ9IjoWueOJcHPJm/view?usp=drivesdk"}]</t>
  </si>
  <si>
    <t>포항시, 산림사업장 중대재해 예방 특별교육 실시 - 신아일보</t>
  </si>
  <si>
    <t>https://drive.google.com/thumbnail?id=1rXkW3Oro0MQj75J_-OdwpfnMUaNOBeAI&amp;sz=w400</t>
  </si>
  <si>
    <t>신아일보</t>
  </si>
  <si>
    <t>신안군, 전 직원 중대재해 예방·안전관리 역량 강화 교육 - 전국매일신문</t>
  </si>
  <si>
    <t>용접재료(스테인레스강용 티그 와이어)</t>
  </si>
  <si>
    <t>조선선재온산(주)</t>
  </si>
  <si>
    <t>[{"name":"31. 조선선재 TGC-316L (2023).pdf","url":"https://drive.google.com/file/d/1Rs6FJP60hykjLSohmK1-IPcQZNajWYMe/view?usp=drivesdk"}]</t>
  </si>
  <si>
    <t>H317, H334, H351, H370, H372</t>
  </si>
  <si>
    <t>신안군, 중대재해 예방 위한 안전의식 제고 나서 - 산경일보</t>
  </si>
  <si>
    <t>P201, P202, P260, P261, P264, P270, P272, P280, P284, P302+P352, P304+P340, P308+P311, P308+P313, P314, P321, P333+P313, P342+P311, P362+P364, P405, P501</t>
  </si>
  <si>
    <t>산경일보</t>
  </si>
  <si>
    <t>산소</t>
  </si>
  <si>
    <t>[{"name":"34. 경부가스 용접 산소.pdf","url":"https://drive.google.com/file/d/1UWsn0RdV5TxZJnu9KbJKA0l40t5rKITg/view?usp=drivesdk"}]</t>
  </si>
  <si>
    <t>산화성,고압가스</t>
  </si>
  <si>
    <t>H270, H280</t>
  </si>
  <si>
    <t>P220, P244, P370, P376, P403, P410</t>
  </si>
  <si>
    <t>질식·추락…경남서 하루 동안 산업재해로 3명 숨져 - v.daum.net</t>
  </si>
  <si>
    <t>TEC7</t>
  </si>
  <si>
    <t>v.daum.net</t>
  </si>
  <si>
    <t>Novatech International N.V.</t>
  </si>
  <si>
    <t>[{"name":"46.준성폴리머 TEC7 (2022).pdf","url":"https://drive.google.com/file/d/1QDJmcafk50hPE-sp_N37gucnjf5rgC7C/view?usp=drivesdk"}]</t>
  </si>
  <si>
    <t>https://drive.google.com/thumbnail?id=1k2l3ImvYWo6W24ni8C-MQul82pGnFb2Z&amp;sz=w400</t>
  </si>
  <si>
    <t>20260520161409AFKZ7D</t>
  </si>
  <si>
    <t>[5/18, 경북 칠곡군] 지게차 점검 중 지게차 마스트와 헤드가드 사이에 끼임</t>
  </si>
  <si>
    <t>재해자가 지게차 점검 중 지게차의 마스트와 헤드가드 사이에 끼임</t>
  </si>
  <si>
    <t>경북 칠곡군 | 끼임 | 2026. 05. 18(월) 00:30 | 사망 1명, 부상 0명</t>
  </si>
  <si>
    <t>https://portal.kosha.or.kr/archive/imprtnDsstrAlrame/CSADV50000/CSADV50000M01</t>
  </si>
  <si>
    <t>K-308LT</t>
  </si>
  <si>
    <t>LH 대구경북본부, 대구국가산단 현장 산업재해예방 장관 표창 - 경북신문</t>
  </si>
  <si>
    <t>경북신문</t>
  </si>
  <si>
    <t>[{"name":"18. 고려용접봉 K-308LT.pdf","url":"https://drive.google.com/file/d/1UiTbq_CVMxoc84Yk2FhQo97DSbXcXURR/view?usp=drivesdk"}]</t>
  </si>
  <si>
    <t>https://drive.google.com/thumbnail?id=1dihqDLJyTX3dUcs8RpCLV8stFoSOdHLv&amp;sz=w400</t>
  </si>
  <si>
    <t>경산시, ‘중대시민재해 예방 표준 매뉴얼 개정 용역’ 최종 보고회 개최 - kyongbuk.co.kr</t>
  </si>
  <si>
    <t>kyongbuk.co.kr</t>
  </si>
  <si>
    <t>K-71T</t>
  </si>
  <si>
    <t>20260520161705J93601</t>
  </si>
  <si>
    <t>[{"name":"20. 고려용접봉 K-71T.pdf","url":"https://drive.google.com/file/d/19gwZui--lML6QcYuCeH-d1wyx-z42TPS/view?usp=drivesdk"}]</t>
  </si>
  <si>
    <t>[5/18, 경기 평택시] 지붕 차양막 설치 작업 중 밟고 있던 채광창이 깨지며 떨어짐</t>
  </si>
  <si>
    <t>재해자가 지붕 차양막 설치 작업 중 밟고 있던 채광창이 깨지며 바닥으로 떨어짐.</t>
  </si>
  <si>
    <t>경기 평택시 | 추락 | 2026. 05. 18(월) 08:26 | 사망 1명, 부상 0명</t>
  </si>
  <si>
    <t>https://drive.google.com/thumbnail?id=1WFs_ftGdVtpwt2OCGbJAEA-sGjgHGdXy&amp;sz=w400</t>
  </si>
  <si>
    <t>20260520161933D9VWWW</t>
  </si>
  <si>
    <t>[5/18, 전남 여수시] 이동 중 유휴설비로부터 분리되어 떨어지는 덕트 배관에 맞음</t>
  </si>
  <si>
    <t>이동 중이던 재해자가 유휴설비로부터 분리되어 떨어진 덕트 배관에 맞음.</t>
  </si>
  <si>
    <t>전남 여수시 | 낙하 | 2026. 05. 18(월) 10:44 | 사망 1명, 부상 0명</t>
  </si>
  <si>
    <t>현대중공업 군산공장서 30대 하청노동자 끼임 사고로 숨져 - 울산저널i</t>
  </si>
  <si>
    <t>울산저널i</t>
  </si>
  <si>
    <t>2026052710042251RFLW</t>
  </si>
  <si>
    <t>[5/20, 부산 사하구] 차고지로 복귀하는 버스에 부딪힘</t>
  </si>
  <si>
    <t>이동 중인 재해자가 차고지로 복귀하는 버스에 부딪힘.</t>
  </si>
  <si>
    <t>부산 사하구 | 부딪힘 | 2026. 05. 20(수) 18:50 | 사망 1명, 부상 0명</t>
  </si>
  <si>
    <t>자극성,급성독성,발암성</t>
  </si>
  <si>
    <t>H334, H317, H371, H373, H412</t>
  </si>
  <si>
    <t>P260, P261, P264, P270, P272, P273, P280, P284, P302+P352, P304+P340, P308+P311, P314, P321, P333+P313, P342+P311, P362+P364, P405, P501</t>
  </si>
  <si>
    <t>LPG, SWEETENED</t>
  </si>
  <si>
    <t>202605271005247DRKH1</t>
  </si>
  <si>
    <t>[5/19, 서울 동작구] 환기구 덮개를 들어내던 중 환기구 아래로 떨어짐</t>
  </si>
  <si>
    <t>대구시·노동청, 건설현장 폭염기 중대재해 예방 특별 합동점검 - 팍스경제TV</t>
  </si>
  <si>
    <t>팍스경제TV</t>
  </si>
  <si>
    <t>환기구 이물질 청소를 위해 덮개를 들어내던 중 환기구 아래로 떨어짐.</t>
  </si>
  <si>
    <t>[{"name":"31. 경부가스 용접 LPG.pdf","url":"https://drive.google.com/file/d/1poQnYF_KSxi1C1W_yPwDFhX_QrrHaCaK/view?usp=drivesdk"}]</t>
  </si>
  <si>
    <t>서울 동작구 | 추락 | 2026. 05. 19(화) 17:54 | 사망 1명, 부상 0명</t>
  </si>
  <si>
    <t>인화성,고압가스,발암성</t>
  </si>
  <si>
    <t>H220, H280, H340, H350</t>
  </si>
  <si>
    <t>20260527100616SUKFCN</t>
  </si>
  <si>
    <t>P201, P202, P210, P280, P308+P313, P377, P381</t>
  </si>
  <si>
    <t>[5/19, 경북 칠곡군] 지붕 마감재 제거 작업 중 바닥으로 떨어짐</t>
  </si>
  <si>
    <t>K-81TM</t>
  </si>
  <si>
    <t>지붕 마감재 제거 작업 중 채광창을 밟고 바닥으로 떨어짐</t>
  </si>
  <si>
    <t>경북 칠곡군 | 추락 | 2026. 05. 19(화) 09:04 | 사망 1명, 부상 0명</t>
  </si>
  <si>
    <t>[{"name":"27. 고려용접봉 K-81TM.pdf","url":"https://drive.google.com/file/d/1Fhy-ql-fR9MV6Nxwbfj8LaWOMvYiFGIl/view?usp=drivesdk"}]</t>
  </si>
  <si>
    <t>https://drive.google.com/thumbnail?id=1QKpX_51p4uAd2tgvK2JKYTWlz6IuvLNm&amp;sz=w400</t>
  </si>
  <si>
    <t>20260527100726JDHVT8</t>
  </si>
  <si>
    <t>[5/15, 강원 양양군] 지붕 처마 위 미장작업 중 단부로 떨어짐</t>
  </si>
  <si>
    <t>경영평가 미흡' 캠코, 안전실천 결의…"중대재해 제로 달성" - 연합뉴스</t>
  </si>
  <si>
    <t>재해자가 지붕 처마 위에서 미장 작업 중 단부로 떨어짐</t>
  </si>
  <si>
    <t>강원 양양군 | 추락 | 2026. 05. 15(금) 14:00 | 사망 1명, 부상 0명</t>
  </si>
  <si>
    <t>연합뉴스</t>
  </si>
  <si>
    <t>2026052710080940FG43</t>
  </si>
  <si>
    <t>H317, H334, H351, H373, H412</t>
  </si>
  <si>
    <t>P201, P202, P260, P261, P272, P273, P280, P284, P302+P352, P304+P340, P308+P313, P314, P321, P333+P313, P342+P311, P362+P364, P405, P501</t>
  </si>
  <si>
    <t>질소(NITROGEN)</t>
  </si>
  <si>
    <t>[{"name":"33. 경부가스 용접 질소.pdf","url":"https://drive.google.com/file/d/1mBhpgPjiWJfQaQrmAWdB8kQFF8qgWa3n/view?usp=drivesdk"}]</t>
  </si>
  <si>
    <t>[5/23, 경남 창녕군] 운행 중인 지게차에 부딪혀 깔림</t>
  </si>
  <si>
    <t>재해자가 운행 중인 지게차에 부딪혀 깔림.</t>
  </si>
  <si>
    <t>경남 창녕군 | 깔림 | 2026. 05. 23(토) 00:58 | 사망 1명, 부상 0명</t>
  </si>
  <si>
    <t>OT407-9180</t>
  </si>
  <si>
    <t>(주)케이씨씨</t>
  </si>
  <si>
    <t>[{"name":"(주)KCC OT407-9180(2023).pdf","url":"https://drive.google.com/file/d/1S-R7DbTvemSFpE-XKjk4SyHfYFMXUcps/view?usp=drivesdk"}]</t>
  </si>
  <si>
    <t>202605291541436TQDSQ</t>
  </si>
  <si>
    <t>https://drive.google.com/thumbnail?id=1vL_QGNnrS-AAe60VrAQMdgpLQw9KxRmi&amp;sz=w400</t>
  </si>
  <si>
    <t>[5/22, 인천 서구] 설비 안전난간 설치 준비 작업 중 바닥으로 떨어짐</t>
  </si>
  <si>
    <t>대구교육청, 학교 현업 근로자 4,000여 명 대상 '산업 안전보건교육' 실시 - 대구MBC</t>
  </si>
  <si>
    <t>재해자가 설비의 안전난간 설치 준비 작업 중 바닥으로 떨어짐</t>
  </si>
  <si>
    <t>대구MBC</t>
  </si>
  <si>
    <t>인천 서구 | 추락 | 2026. 05. 22(금) 15:13 | 사망 1명, 부상 0명</t>
  </si>
  <si>
    <t>20260529154452J4UPM6</t>
  </si>
  <si>
    <t>인화성,급성독성,자극성,발암성,환경유해성</t>
  </si>
  <si>
    <t>[5/25, 서울 양천구] 추락방지망 해체 작업 중 떨어짐</t>
  </si>
  <si>
    <t>H226,H304,H315,H332,H340,H350,H372,H373,H411</t>
  </si>
  <si>
    <t>P201,P202,P210,P233,P240,P241,P242,P243,P260,P261,P264,P270,P271,P273,P280,P301+P310,P302+P352,P303+P361+P353,P304+P340,P308+P313,P312,P314,P321,P331,P332+P313,P362+P364,P370+P378,P391,P403+P235,P405,P501</t>
  </si>
  <si>
    <t>재해자가 철골 구조물에 설치된 추락방지망 해체 작업 중 떨어짐</t>
  </si>
  <si>
    <t>락카스프레이 - 적색 [320]</t>
  </si>
  <si>
    <t>서울 양천구 | 추락 | 2026. 05. 25(월) 09:48 | 사망 1명, 부상 0명</t>
  </si>
  <si>
    <t>(주)영일</t>
  </si>
  <si>
    <t>[{"name":"(주)영일 YL-017 락카스프레이 - 적색 (2024).pdf","url":"https://drive.google.com/file/d/1Ky2D6mb9rF_3kPBxDqQJXzc3DoryuvE3/view?usp=drivesdk"}]</t>
  </si>
  <si>
    <t>20260529154819DQQQKY</t>
  </si>
  <si>
    <t>https://drive.google.com/thumbnail?id=1_-g16p2Bx6v0G3pnwKLVpvpJKSs2mAVq&amp;sz=w400</t>
  </si>
  <si>
    <t>서울 산업안전보건 한자리에… ‘2026 서울 산업안전보건의 달 기념식’ 개최 - 에너지데일리</t>
  </si>
  <si>
    <t>[5/25, 서울 영등포구] 옥상에서 누수 여부 확인 중 떨어짐</t>
  </si>
  <si>
    <t>에너지데일리</t>
  </si>
  <si>
    <t>재해자가 누수 여부 확인 중 지상으로 떨어짐</t>
  </si>
  <si>
    <t>서울 영등포구 | 추락 | 2026. 05. 25(월) 19:48 | 사망 1명, 부상 0명</t>
  </si>
  <si>
    <t>20260529160119VK4RPU</t>
  </si>
  <si>
    <t>[5/27, 서울 강남구] 굴착한 측면 토사가 붕괴되어 매몰됨</t>
  </si>
  <si>
    <t>굴착한 측면의 토사가 붕괴되며 재해자가 매몰됨</t>
  </si>
  <si>
    <t>폭발성,인화성,고압가스,급성독성,자극성</t>
  </si>
  <si>
    <t>서울특별시 강남구 | 붕괴 | 2026. 05. 27(수) 12:40 | 사망 1명, 부상 0명</t>
  </si>
  <si>
    <t>H201, H220, H222, H225, H229, H280, H312, H317, H319, H332, H340, H350, H373</t>
  </si>
  <si>
    <t>농어촌공사, 중대재해 예방 위한 ‘비상 경영’ 돌입 - 한국농촌경제신문</t>
  </si>
  <si>
    <t>P201, P202, P210, P230, P233, P234, P240, P241, P242, P243, P250, P260, P261, P264, P271, P272, P280</t>
  </si>
  <si>
    <t>한국농촌경제신문</t>
  </si>
  <si>
    <t>락카스프레이 - 황색 [350]</t>
  </si>
  <si>
    <t>2026060411003601Y0I1</t>
  </si>
  <si>
    <t>[5/28, 충남 당진시] 고철 절단 작업 중 압쇄기에 깔림</t>
  </si>
  <si>
    <t>[{"name":"(주)영일 YL-017 락카스프레이 - 황색 (2024).pdf","url":"https://drive.google.com/file/d/1BEtYoijWRxQupCgIjcFEGG4RbWVMBGRE/view?usp=drivesdk"}]</t>
  </si>
  <si>
    <t>재해자가 고철 절단 작업 중 굴착기 암에 연결된 압쇄기에 깔림</t>
  </si>
  <si>
    <t>충남 당진시 | 깔림 | 2026. 05. 28(목) 12:16 | 사망 1명, 부상 0명</t>
  </si>
  <si>
    <t>https://drive.google.com/thumbnail?id=1dh5XvbWNegTih800MzuNYmAhpVvKQUV9&amp;sz=w400</t>
  </si>
  <si>
    <t>2026060411015688BT10</t>
  </si>
  <si>
    <t>[5/30, 경남 김해시] 재단기 오일 주입 중 가동되는 기계에 끼임</t>
  </si>
  <si>
    <t>재해자가 재단기계 내부 오일 주입 작업 중 기계가 가동되면서 끼임</t>
  </si>
  <si>
    <t>경남 김해시 | 끼임 | 2026. 05. 30(토) 18:29 | 사망 1명, 부상 0명</t>
  </si>
  <si>
    <t>20260604110344TLYI60</t>
  </si>
  <si>
    <t>[5/14, 인천 중구] 배관 통로 점검 중 천장마감재를 밟고 떨어짐</t>
  </si>
  <si>
    <t>평택 자동차 부품공장서 끼임 사고…20대 하청 근로자 숨져 - 연합뉴스TV</t>
  </si>
  <si>
    <t>연합뉴스TV</t>
  </si>
  <si>
    <t>재해자가 배관 점검 통로 점검 중 천장 마감재를 밟고 떨어짐</t>
  </si>
  <si>
    <t>인천 중구 | 추락 | 2026. 05. 14(목) 10:39 | 사망 1명, 부상 0명</t>
  </si>
  <si>
    <t>폭발성,인화성,고압가스,부식성,급성독성,자극성,발암성</t>
  </si>
  <si>
    <t>H201, H220, H225, H280, H312, H315, H317, H319, H332, H340, H350, H361, H373</t>
  </si>
  <si>
    <t>20260604110655H0SIEJ</t>
  </si>
  <si>
    <t>P201, P202, P210, P230, P233, P234, P240, P241, P242, P243, P250, P260, P261, P264, P271, P272, P280, P302+P352, P303+P361+P353, P304+P340, P305+P351+P338, P308+P313, P312, P314, P321, P332+P313, P333+P313, P337+P313, P362+P364, P370+P372+P380+P373, P370+P378, P377, P381, P401, P403, P403+P235, P405, P410+P403, P501</t>
  </si>
  <si>
    <t>[4/21, 부산 기장군] 로봇 용접설비 조작 중 차단문에 끼임</t>
  </si>
  <si>
    <t>로봇 용접설비 조작 작업 중 차단문에 끼임</t>
  </si>
  <si>
    <t>마이크로첵크 현상제 (MC-DA, 일반)</t>
  </si>
  <si>
    <t>부산 기장군 | 끼임 | 2026. 04. 21(화) 03:50 | 사망 1명, 부상 0명</t>
  </si>
  <si>
    <t>(주)지에스켐</t>
  </si>
  <si>
    <t>2026060411082917WITA</t>
  </si>
  <si>
    <t>[6/1, 강원 양양군] 차량 적재함 개방 중 인근에서 회전하는 굴착기에 부딪힘</t>
  </si>
  <si>
    <t>[{"name":"(주)지에스켐 마이크로첵크-현상제-MC-DA(2023).pdf","url":"https://drive.google.com/file/d/1Er74n4yKMj0I696O-Ws8gipOoU18dexe/view?usp=drivesdk"}]</t>
  </si>
  <si>
    <t>재해자 운반차량의 적재함을 개방하던 중 회전하는 굴착기에 부딪힘</t>
  </si>
  <si>
    <t>강원 양양군 | 부딪힘 | 2026. 06. 01(월) 09:28 | 사망 1명, 부상 0명</t>
  </si>
  <si>
    <t>https://drive.google.com/thumbnail?id=1OHiuy-DtkX6Fi2iNMLygWSG4SURGRqHx&amp;sz=w400</t>
  </si>
  <si>
    <t>20260604110925HLNVWD</t>
  </si>
  <si>
    <t>[6/1, 경남 김해시] 지게차 위에 올라가 벽면 판넬 설치 중 떨어짐</t>
  </si>
  <si>
    <t>재해자가 지게차 포크 위 팔레트에 올라가 벽면 판넬 설치 작업 중 떨어짐</t>
  </si>
  <si>
    <t>경남 김해시 | 추락 | 2026. 06. 01(월) 08:53 | 사망 1명, 부상 0명</t>
  </si>
  <si>
    <t>20260607081157NFDPMQ</t>
  </si>
  <si>
    <t>[6/2, 경기 화성시] 지게차에 부딪혀 자재 사이에 끼임</t>
  </si>
  <si>
    <t>재해자가 살수 작업 중 브레이크가 풀린 지게차에 부딪혀 건축자재 사이에 끼임.</t>
  </si>
  <si>
    <t>경기 화성시 | 끼임 | 2026. 06. 02(화) 12:10 | 사망 1명, 부상 0명</t>
  </si>
  <si>
    <t>20260607081423T8ZZVJ</t>
  </si>
  <si>
    <t>[6/2, 부산 사상구] 차량 적재함 개폐문이 닫히며 끼임</t>
  </si>
  <si>
    <t>재활용 수집차량의 적재함 개폐문이 닫혀 재해자가 끼임.</t>
  </si>
  <si>
    <t>부산 사상구 | 끼임 | 2026. 06. 02(화) 09:32 | 사망 1명, 부상 0명</t>
  </si>
  <si>
    <t>인화성,고압가스,자극성,급성독성</t>
  </si>
  <si>
    <t>H220, H222, H225, H229, H304, H315, H319, H335, H336, H361, H370, H373</t>
  </si>
  <si>
    <t>20260607081521050YUV</t>
  </si>
  <si>
    <t>P201, P202, P210, P211, P233, P240, P241, P242, P243, P251, P260, P261, P264, P270, P271, P280, P301+P310, P302+P352, P303+P361+P353, P304+P340, P305+P351+P338, P308+P311, P308+P313, P312, P314, P321, P331, P332+P313, P337+P313, P362+P364, P370+P378, P377, P381, P403, P403+P233, P403+P235, P405, P410+P412, P501</t>
  </si>
  <si>
    <t>[6/4, 충남 당진시] 지게차에 부딪혀 연쇄적으로 넘어지는 H빔 사이에 깔림</t>
  </si>
  <si>
    <t>지게차에 부딪힌 H빔이 연쇄적으로 넘어져 재해자가 H빔 사이에 깔림.</t>
  </si>
  <si>
    <t>충남 당진시 | 깔림 | 2026. 06. 04(월) 09:00 | 사망 1명, 부상 0명</t>
  </si>
  <si>
    <t>파워피비</t>
  </si>
  <si>
    <t>202606111107014HG1QR</t>
  </si>
  <si>
    <t>(주)파워피앤비</t>
  </si>
  <si>
    <t>[5/8, 경남 창원시] 가공설비 점검 중 안전문에 끼임</t>
  </si>
  <si>
    <t>재해자가 가공설비 점검 작업 중 안전문에 끼임</t>
  </si>
  <si>
    <t>경남 창원시 | 끼임 | 2026. 05. 08(금) 19:29 | 사망 1명, 부상 0명</t>
  </si>
  <si>
    <t>[{"name":"(주)파워피앤비 POWER PB (2021).pdf","url":"https://drive.google.com/file/d/1NIW58cLzOs_fSlPKCEDJmUzczrX3-_M4/view?usp=drivesdk"}]</t>
  </si>
  <si>
    <t>20260611110840XH3INA</t>
  </si>
  <si>
    <t>[6/5, 서울 성북구] 그늘 쉼터 설치 작업 중 이동식비계에 떨어짐</t>
  </si>
  <si>
    <t>https://drive.google.com/thumbnail?id=1q2Re6wovP6HSm-ajhW3B05T_aH-BfZK3&amp;sz=w400</t>
  </si>
  <si>
    <t>재해자가 그늘 쉼터 설치 작업 중 이동식 비계에서 떨어짐.</t>
  </si>
  <si>
    <t>서울 성북구 | 추락 | 2026. 06. 05(금) 09:35 | 사망 1명, 부상 0명</t>
  </si>
  <si>
    <t>202606111110595AR9QY</t>
  </si>
  <si>
    <t>[5/14, 전남 광양시] 플랜지 해체 작업 중 고온 응축수가 쏟아져 화상</t>
  </si>
  <si>
    <t>재해자가 정제설비 내부에서 플랜지 해체 작업 중 고온 응축수가 쏟아져 화상을 입음.</t>
  </si>
  <si>
    <t>전남 광양시 | 낙하 | 2026. 05. 14(목) 16:51 | 사망 1명, 부상 0명</t>
  </si>
  <si>
    <t>20260611111355OZSS9T</t>
  </si>
  <si>
    <t>[6/9, 서울 관악구] 수직형 케이블 거치대 설치 준비 중 개구부로 떨어짐</t>
  </si>
  <si>
    <t>재해자가 수직형 케이블 거치대 설치 준비 작업 중 개구부로 떨어짐.</t>
  </si>
  <si>
    <t>서울 관악구 | 추락 | 2026. 06. 09(화) 17:26 | 사망 1명, 부상 0명</t>
  </si>
  <si>
    <t>부식성</t>
  </si>
  <si>
    <t>20260611111536KIZXJ8</t>
  </si>
  <si>
    <t>H290</t>
  </si>
  <si>
    <t>[6/9, 부산 사상구] 실외기 설치 작업 중 베란다 난간이 파손되어 떨어짐</t>
  </si>
  <si>
    <t>P234, P390, P406</t>
  </si>
  <si>
    <t>재해자 2명이 실외기 설치 작업 중 베란다 난간이 파손되며 바닥으로 떨어짐.</t>
  </si>
  <si>
    <t>부산 사상구 | 추락 | 2026. 06. 09(화) 12:22 | 사망 2명, 부상 0명</t>
  </si>
  <si>
    <t>202606141740160N2SUN</t>
  </si>
  <si>
    <t>[6/9, 경남 김해시] 스프링클러 설치 중 고소작업대에서 떨어짐</t>
  </si>
  <si>
    <t>스프링클러 설치 작업 중 고소작업대에서 떨어짐</t>
  </si>
  <si>
    <t>[{"name":"18. 조선선재 TGC-316L (2023).pdf","url":"https://drive.google.com/file/d/1DsIHu4o4Sj3SUKlOOed2vsfM5oeNTpm2/view?usp=drivesdk"}]</t>
  </si>
  <si>
    <t>경남 김해시 | 추락 | 2026. 06. 09(화) 15:10 | 사망 1명, 부상 0명</t>
  </si>
  <si>
    <t>20260614174115W06ULV</t>
  </si>
  <si>
    <t>[6/10, 경기 평택시] 벽체 철거 작업 중 떨어지는 벽체에 맞음</t>
  </si>
  <si>
    <t>벽체 철거 작업 중 재해자가 떨어지는 벽체에 맞음</t>
  </si>
  <si>
    <t>경기 평택시 | 낙하 | 2026. 06. 10(수) 09:01 | 사망 1명, 부상 0명</t>
  </si>
  <si>
    <t>20260614174408J3HAUW</t>
  </si>
  <si>
    <t>Sikaflex®-221</t>
  </si>
  <si>
    <t>[6/11, 충남 아산시] 하강하는 리프트 운반구와 컨베이어 사이에 끼임</t>
  </si>
  <si>
    <t>씨카코리아(주)</t>
  </si>
  <si>
    <t>재해자가 컨베이어에 끼인 제품을 빼내던 중 하강하는 리프트 운반구와 컨베이어 사이에 끼임.</t>
  </si>
  <si>
    <t>충남 아산시 | 끼임 | 2026. 06. 11(목) 06:20 | 사망 1명, 부상 0명</t>
  </si>
  <si>
    <t>[{"name":"22. 씨카 Sikaflex-221 (2020).pdf","url":"https://drive.google.com/file/d/1MExanp0YIrdsDdPzieOEZP5wg4y7yUaA/view?usp=drivesdk"}]</t>
  </si>
  <si>
    <t>20260614174458BYPCHN</t>
  </si>
  <si>
    <t>[6/11, 전북 군산시] 화물트럭 유도 작업 중 부딪힘</t>
  </si>
  <si>
    <t>https://drive.google.com/thumbnail?id=1cAsugqcAnpFJgAmM9N8mXO9RPAA4SBff&amp;sz=w400</t>
  </si>
  <si>
    <t>재해자가 화물트럭 유도 작업을 위해 이동하던 중 움직이는 화물트럭에 부딪힘</t>
  </si>
  <si>
    <t>전북 군산시 | 부딪힘 | 2026. 06. 11(목) 13:13 | 사망 1명, 부상 0명</t>
  </si>
  <si>
    <t>20260617174418E7383U</t>
  </si>
  <si>
    <t>[6/13, 서울 중랑구] 이동식 비계 위에서 천장 배관 설치 작업 중 떨어짐</t>
  </si>
  <si>
    <t>재해자가 이동식 비계 위에서 천장 배관 설치 작업 중 떨어짐</t>
  </si>
  <si>
    <t>서울 중랑구 | 추락 | 2026. 06. 13(토) 08:01 | 사망 1명, 부상 0명</t>
  </si>
  <si>
    <t>20260617174658JALF8I</t>
  </si>
  <si>
    <t>[6/13, 경남 김해시] 축대에 방수포를 덮는 작업 중 단부로 떨어짐</t>
  </si>
  <si>
    <t>재해자가 축대에 방수포를 덮는 작업 중 단부로 떨어짐</t>
  </si>
  <si>
    <t>발암성,자극성</t>
  </si>
  <si>
    <t>경남 김해시 | 추락 | 2026. 06. 13(토) 10:38 | 사망 1명, 부상 0명</t>
  </si>
  <si>
    <t>H351, H373</t>
  </si>
  <si>
    <t>P201, P202, P260, P280, P308, P313</t>
  </si>
  <si>
    <t>20260617174908PAQ9AS</t>
  </si>
  <si>
    <t>[6/14, 충남 천안시] 지게차로 압축기에 끼인 파지 제거 중 압축기가 넘어지며 깔림</t>
  </si>
  <si>
    <t>ZINCOT N-50S (진코트 엔-50에스)</t>
  </si>
  <si>
    <t>지게차로 파지 압축기에 끼인 파지를 제거하던 중 압축기가 넘어지면서 재해자가 깔림.</t>
  </si>
  <si>
    <t>충남 천안시 | 깔림 | 2026. 06. 14(일) 17:10 | 사망 1명, 부상 1명</t>
  </si>
  <si>
    <t>20260617175222HQTXT4</t>
  </si>
  <si>
    <t>[6/13, 강원 횡성군] 권양기 로프에 매달린 절연체가 낙하하여 작업자가 끌려가 송전탑에 부딪힘</t>
  </si>
  <si>
    <t>[{"name":"32. 남방CNA ZINCOT N-50S (2023).pdf","url":"https://drive.google.com/file/d/1ua1Cl9uuxz5OZu-WXY4yTbRivuHaONBD/view?usp=drivesdk"}]</t>
  </si>
  <si>
    <t>권양기 로프에 매달린 절연체가 낙하하여 로프에 감긴 재해자가 끌려가 송전탑에 부딪힘.</t>
  </si>
  <si>
    <t>강원 횡성군 | 부딪힘 | 2026. 06. 13(토) 14:40 | 사망 1명, 부상 0명</t>
  </si>
  <si>
    <t>https://drive.google.com/thumbnail?id=148oaDMRCRAoSTt8zUQ5roFORUHEsU8cb&amp;sz=w400</t>
  </si>
  <si>
    <t>20260617175528AEZGOI</t>
  </si>
  <si>
    <t>[6/15, 충북 충주시] 굴착기로 잔디다발을 들고 선회 중 무게중심을 잃고 쓰러지는 굴착기에 깔림</t>
  </si>
  <si>
    <t>굴착기로 잔디다발을 들고 선회하던 중 무게중심을 잃고 쓰러지는 굴착기에 재해자가 깔림.</t>
  </si>
  <si>
    <t>충북 충주시 | 깔림 | 2026. 06. 15(월) 10:54 | 사망 1명, 부상 0명</t>
  </si>
  <si>
    <t>20260620180806O3WGQ2</t>
  </si>
  <si>
    <t>[6/15, 충남 아산시] 고소작업대가 넘어져 떨어짐</t>
  </si>
  <si>
    <t>재해자가 고소작업대를 상승시킨 채 도장 작업 중 바닥 단차로 인해 고소작업대가 넘어지며 떨어짐.</t>
  </si>
  <si>
    <t>충남 아산시 | 추락 | 2026. 06. 15(월) 09:05 | 사망 1명, 부상 0명</t>
  </si>
  <si>
    <t>인화성,고압가스,부식성,급성독성,자극성,발암성,환경유해성</t>
  </si>
  <si>
    <t>H222,H229,H220,H280,H225,H315,H319,H317,H361,H336,H373,H304,H400,H411</t>
  </si>
  <si>
    <t>P201,P202,P210,P211,P233,P240,P241,P242,P243,P251,P260,P261,P264,P271,P272,P273,P280,P301+P310,P302+P352,P303+P361+P353,P304+P340,P305+P351+P338,P308+P313,P312,P314</t>
  </si>
  <si>
    <t>UNY MARINE THINNER</t>
  </si>
  <si>
    <t>츄고쿠삼화페인트(주)</t>
  </si>
  <si>
    <t>[{"name":"35. 츄고쿠삼화페인트 유니마린HS (2023).PDF","url":"https://drive.google.com/file/d/1hed0vGJqK_znaYCmSnPHUlDyybqpIHPf/view?usp=drivesdk"}]</t>
  </si>
  <si>
    <t>사번</t>
  </si>
  <si>
    <t>https://drive.google.com/thumbnail?id=1D5IctoStl0Ij7heMYBfAfF8u5jxFZKeg&amp;sz=w400</t>
  </si>
  <si>
    <t>근무지</t>
  </si>
  <si>
    <t>2026062018091777NJQR</t>
  </si>
  <si>
    <t>[6/18, 경남 김해시] 실린더 내부 세척 중 유증기 착화로 화재 발생</t>
  </si>
  <si>
    <t>재해자가 신너를 사용하여 실린더 내부 세척 작업 중 인근에서 작업 중이던 용접 불티에 의해 유증기가 착화하며 화재가 발생함</t>
  </si>
  <si>
    <t>경남 김해시 | 화재 | 2026. 06. 18(목) 10:03 | 사망 1명, 부상 0명</t>
  </si>
  <si>
    <t>부 서</t>
  </si>
  <si>
    <t>인화성,자극성,발암성,생식독성,급성독성</t>
  </si>
  <si>
    <t>이 름</t>
  </si>
  <si>
    <t>H225,H304,H315,H319,H335,H336,H351,H361,H372</t>
  </si>
  <si>
    <t>20260624092429AGK4DQ</t>
  </si>
  <si>
    <t>P201,P202,P210,P233,P240,P241,P242,P243,P261,P264,P270,P271,P280,P301+P310,P302+P352,P303+P361+P353,P304+P340,P305+P351+P338,P308+P313,P312,P331,P332+P313,P337+P313,P362+P364,P370+P378,P403+P233,P403+P235,P405,P501</t>
  </si>
  <si>
    <t>[6/19, 제주 제주시] 넘어지는 지게차에 깔림</t>
  </si>
  <si>
    <t>재해자가 밀려 내려가는 지게차를 막으려던 중 전도되는 지게차에 깔림.</t>
  </si>
  <si>
    <t>제주 제주시 | 깔림 | 2026. 06. 19(금) 15:33 | 사망 1명, 부상 0명</t>
  </si>
  <si>
    <t>브이피씨아이-368 (VpCI-368)</t>
  </si>
  <si>
    <t>20260624092542D0BHFT</t>
  </si>
  <si>
    <t>CORTEC KOREA</t>
  </si>
  <si>
    <t>[6/18, 강원 정선군] 중량물 인양 작업 중 넘어지는 호이스트에 깔림</t>
  </si>
  <si>
    <t>지브 호이스트로 중량물 인양 작업 중 과중한 무게로 호이스트 지지 구조물이 휘어져 넘어지는 호이스트에 재해자가 깔림.</t>
  </si>
  <si>
    <t>[{"name":"CORTEC VpCI-368 (2023).pdf","url":"https://drive.google.com/file/d/1OhD8RqtZbvAgCOf4JZwdWo8smxjKN9wt/view?usp=drivesdk"}]</t>
  </si>
  <si>
    <t>강원 정선군 | 깔림 | 2026. 06. 18(목) 15:00 | 사망 1명, 부상 0명</t>
  </si>
  <si>
    <t>20260628145906P6K8MB</t>
  </si>
  <si>
    <t>[6/20, 전남 신안군] 갱폼 해체 작업 중 떨어짐</t>
  </si>
  <si>
    <t>갱폼 해체 작업 중 갱폼과 함께 지상으로 떨어짐.</t>
  </si>
  <si>
    <t>전남 신안군 | 추락 | 2026. 06. 20(토) 15:39 | 사망 1명, 부상 0명</t>
  </si>
  <si>
    <t>H227</t>
  </si>
  <si>
    <t>20260628145955KDE0V6</t>
  </si>
  <si>
    <t>P210, P280, P370+P378, P403+P235, P501</t>
  </si>
  <si>
    <t>[6/23, 경기 용인시] 차량탑재형 고소작업대에서 도색작업 중 떨어짐</t>
  </si>
  <si>
    <t>재해자가 차량탑재형 고소작업대에 탑승하여 도색작업 중 떨어짐.</t>
  </si>
  <si>
    <t>경기 용인시 | 추락 | 2026. 06. 23(화) 14:37 | 사망 1명, 부상 0명</t>
  </si>
  <si>
    <t>PMC-3 (피엠씨-3)</t>
  </si>
  <si>
    <t>20260628150038V2T8Z2</t>
  </si>
  <si>
    <t>[6/11, 서울 강남구] 작업 준비 중 계단 사이 개구부로 떨어짐</t>
  </si>
  <si>
    <t>작업을 준비하던 중 중심을 잃고 계단 사이 개구부로 떨어짐</t>
  </si>
  <si>
    <t>서울 강남구 | 추락 | 2026. 06. 11(목) 13:04 | 사망 1명, 부상 0명</t>
  </si>
  <si>
    <t>[{"name":"3. 남방CNA(주) pmc-3 (2023).pdf","url":"https://drive.google.com/file/d/10IuBzkgE9Xqi9nSCK2mJvjkMh4WqDaAy/view?usp=drivesdk"}]</t>
  </si>
  <si>
    <t>20260628150122A8X0RV</t>
  </si>
  <si>
    <t>인화성,고압가스,자극성</t>
  </si>
  <si>
    <t>[6/23, 경남 함안군] 작업발판 위에서 컨테이너를 밀다가 떨어짐</t>
  </si>
  <si>
    <t>재해자가 작업발판에 올라가 용접작업이 완료된 컨테이너를 밀던 중 중심을 잃고 떨어짐.</t>
  </si>
  <si>
    <t>H222,H229,H220,H280,H225,H315,H319,H336,H305,H411</t>
  </si>
  <si>
    <t>경남 함안군 | 추락 | 2026. 06. 23(화) 10:35 | 사망 1명, 부상 0명</t>
  </si>
  <si>
    <t>P210,P211,P233,P240,P241,P242,P243,P251,P261,P264,P271,P273,P280,P301+P310,P302+P352,P303+P361+P353,P304+P340,P305+P351+P338,P312,P321,P331,P332+P313,P337+P313,P362+P364,P370+P378,P377,P381,P391,P403+P235,P405,P410+P403,P410+P412,P501</t>
  </si>
  <si>
    <t>본사</t>
  </si>
  <si>
    <t>20260702132222EVKKNX</t>
  </si>
  <si>
    <t>[6/27, 충남 아산시] 고소작업대에서 떨어짐</t>
  </si>
  <si>
    <t>차량탑재형 고소작업대에 탑승하여 나뭇가지를 자르던 중 떨어짐(9.1m)</t>
  </si>
  <si>
    <t>감사팀</t>
  </si>
  <si>
    <t>충남 아산시 | 추락 | 2026. 06. 27(토) 11:19 | 사망 1명, 부상 0명</t>
  </si>
  <si>
    <t>이상석</t>
  </si>
  <si>
    <t>[{"name":"3M L-316 Stainless Steel Coat Bright (2017).pdf","url":"https://drive.google.com/file/d/1p00F3LyaBYC01UKE1M-Umkab4e1rs95n/view?usp=drivesdk"}]</t>
  </si>
  <si>
    <t>20260702132306MPR0Q9</t>
  </si>
  <si>
    <t>Y</t>
  </si>
  <si>
    <t>[6/27, 충남 아산시] 천막이 찢어져 떨어짐</t>
  </si>
  <si>
    <t>재해자가 천막 덧씌우기 작업을 위해 이동 중 천막이 찢어져 떨어짐(7m).</t>
  </si>
  <si>
    <t>인화성,고압가스,자극성,발암성,급성독성</t>
  </si>
  <si>
    <t>충남 아산시 | 낙하 | 2026. 06. 27(토) 09:15 | 사망 1명, 부상 0명</t>
  </si>
  <si>
    <t>2026070213240669N667</t>
  </si>
  <si>
    <t>[6/26, 인천 서구] 토사가 붕괴되어 매몰됨</t>
  </si>
  <si>
    <t>P201,P202,P210,P211,P251,P260,P261,P271,P280D,P280B,P280A,P280E,P270,P264,P272,P273</t>
  </si>
  <si>
    <t>재해자가 지하 매설물 접지 작업 중 굴착 측면 토사가 붕괴되어 매몰됨</t>
  </si>
  <si>
    <t>인천 서구 | 붕괴 | 2026. 06. 26(금) 03:38 | 사망 1명, 부상 0명</t>
  </si>
  <si>
    <t>20260702132516X1O6VP</t>
  </si>
  <si>
    <t>[6/26, 울산 울주군] 떨어지는 흙덩이에 깔림</t>
  </si>
  <si>
    <t>재해자가 거푸집 해체 작업 중 사면에서 굴러떨어진 흙덩이에 깔림.</t>
  </si>
  <si>
    <t>울산 울주군 | 깔림 | 2026. 06. 26(금) 10:01 | 사망 1명, 부상 0명</t>
  </si>
  <si>
    <t>202607021326582QU55M</t>
  </si>
  <si>
    <t>[6/27, 전남 영암군] 회전하는 인양물에 부딪힘</t>
  </si>
  <si>
    <t>제품 위치 조정을 위해 천장크레인으로 인양한 제품이 무게중심에 의해 회전하며 재해자와 부딪힘</t>
  </si>
  <si>
    <t>전남 영암군 | 부딪힘 | 2026. 06. 27(토) 08:26 | 사망 1명, 부상 0명</t>
  </si>
  <si>
    <t>경영지원팀</t>
  </si>
  <si>
    <t>2026070318165070PS1S</t>
  </si>
  <si>
    <t>[7/1, 충남 아산시] 컨베이어 하부에서 점검 작업 중 컨베이어와 지지대 사이 끼임</t>
  </si>
  <si>
    <t>강호정</t>
  </si>
  <si>
    <t>재해자가 가동 중인 컨베이어 하부에서 점검 작업 중 컨베이어 벨트와 지지대 사이에 끼임</t>
  </si>
  <si>
    <t>충남 아산시 | 끼임 | 2026. 07. 01(수) 16:11 | 사망 1명, 부상 0명</t>
  </si>
  <si>
    <t>202607031825131611P0</t>
  </si>
  <si>
    <t>[7/1, 경북 구미시] 석고보드 보수 작업 중 건물 사이로 떨어짐</t>
  </si>
  <si>
    <t>석고보드 보수 작업을 하다 인접 건물에 떨어진 자재를 가져다 놓고 이동 중 건물 사이로 떨어짐.</t>
  </si>
  <si>
    <t>경북 구미시 | 추락 | 2026. 07. 01(수) 10:10 | 사망 1명, 부상 0명</t>
  </si>
  <si>
    <t>20260705184907B4XQ2B</t>
  </si>
  <si>
    <t>[6/22, 서울 강서구] 이동식 사다리에 올라가 배수밸브 설치 작업 중 떨어짐</t>
  </si>
  <si>
    <t>재해자가 이동식 사다리에 올라가 배수밸브 설치 작업 중 떨어짐</t>
  </si>
  <si>
    <t>서울 강서구 | 추락 | 2026. 06. 22(월) 13:37 | 사망 1명, 부상 0명</t>
  </si>
  <si>
    <t>20260705185224LN4509</t>
  </si>
  <si>
    <t>[6/17, 경기 안산시] 자재 운반 작업 중 밟고 있던 판넬이 파손되며 떨어짐</t>
  </si>
  <si>
    <t>곽계녕</t>
  </si>
  <si>
    <t>재해자가 자재 운반 작업 중 밟고 있던 판넬이 파손되면서 떨어짐.</t>
  </si>
  <si>
    <t>경기 안산시 | 추락 | 2026. 06. 17(수) 16:33 | 사망 1명, 부상 0명</t>
  </si>
  <si>
    <t>20260708102737FANZKI</t>
  </si>
  <si>
    <t>[7/4, 충북 괴산군] 풀베기 작업 후 쓰러짐</t>
  </si>
  <si>
    <t>작업 후 축사 처마 밑에서 쓰러짐.</t>
  </si>
  <si>
    <t>충북 괴산군 | 추락 | 2026. 07. 04(토) 12:30 | 사망 1명, 부상 0명</t>
  </si>
  <si>
    <t>202607111425187E9YMR</t>
  </si>
  <si>
    <t>[7/9, 대구 남구] 넘어지는 조적 벽체에 깔림</t>
  </si>
  <si>
    <t>재해자가 벽체 철거 작업 중 넘어지는 조적 벽체에 깔림</t>
  </si>
  <si>
    <t>대구 남구 | 깔림 | 2026. 07. 09(목) 08:02 | 사망 1명, 부상 0명</t>
  </si>
  <si>
    <t>20260711142601C3MWUL</t>
  </si>
  <si>
    <t>[7/9, 울산 울주군] 천장크레인 상부에서 떨어짐</t>
  </si>
  <si>
    <t>재해자가 천장크레인 상부에 올라가 모터 교체 작업 중 중심을 잃고 바닥으로 떨어짐 (사망 1명, 높이: 14m)</t>
  </si>
  <si>
    <t>울산 울주군 | 추락 | 2026. 07. 09(목) 13:27 | 사망 1명, 부상 0명</t>
  </si>
  <si>
    <t>20260711142645QP3I7B</t>
  </si>
  <si>
    <t>[7/9, 경북 고령군] 구조물이 파손되어 비료 저장소로 떨어짐</t>
  </si>
  <si>
    <t>재해자가 구조물에 기대어 비료 수거 작업 중 구조물이 파손되어 비료 저장소로 떨어짐.</t>
  </si>
  <si>
    <t>경북 고령군 | 추락 | 2026. 07. 09(목) 07:43 | 사망 1명, 부상 0명</t>
  </si>
  <si>
    <t>김성수</t>
  </si>
  <si>
    <t>20260715182515V2NGK1</t>
  </si>
  <si>
    <t>[7/11, 전북 익산시] 지붕 보수 중 스티로폼을 밟고 떨어짐</t>
  </si>
  <si>
    <t>재해자가 지붕 보수 작업 중 강판이 제거된 지붕의 스티로폼을 밟고 떨어짐(8m)</t>
  </si>
  <si>
    <t>전북 익산시 | 추락 | 2026. 07. 11(토) 13:27 | 사망 1명, 부상 0명</t>
  </si>
  <si>
    <t>202607151826010C5TAF</t>
  </si>
  <si>
    <t>[7/13, 충북 음성군] 떨어지는 시멘트 블록에 맞음</t>
  </si>
  <si>
    <t>재해자가 실내 벽체 해체 작업 중 천장에 매달려 있다 떨어지는 시멘트 블록에 맞음</t>
  </si>
  <si>
    <t>충북 음성군 | 낙하 | 2026. 07. 13(월) 13:23 | 사망 1명, 부상 0명</t>
  </si>
  <si>
    <t>20260715182705JLITX1</t>
  </si>
  <si>
    <t>[7/14, 강원 춘천시] 옹벽 아래로 떨어짐</t>
  </si>
  <si>
    <t>재해자가 낙석 방지 시설물 설치 작업 중 경사면을 따라 옹벽 아래로 굴러 떨어짐</t>
  </si>
  <si>
    <t>강원 춘천시 | 추락 | 2026. 07. 14(화) 14:25 | 사망 1명, 부상 0명</t>
  </si>
  <si>
    <t>20260723143637MDLL8V</t>
  </si>
  <si>
    <t>[7/16, 경기 파주시] 파이프를 차량에 싣던 중 떨어지는 파이프에 맞음</t>
  </si>
  <si>
    <t>지게차를 이용해 원통형 파이프를 화물 트럭에 싣던 중 인근에 있던 재해자가 바닥으로 떨어지는 파이프에 맞음</t>
  </si>
  <si>
    <t>경기 파주시 | 부딪힘 | 2026. 07. 16(목) 13:53 | 사망 1명, 부상 0명</t>
  </si>
  <si>
    <t>202607231438164AW1NT</t>
  </si>
  <si>
    <t>[7/18, 울산 동구] 상승하는 곤돌라와 상부 작업발판 사이에 끼임</t>
  </si>
  <si>
    <t>재해자가 곤돌라에 탑승한 채 사상 작업 중 곤돌라가 상승하면서 상부에 고정된 작업발판과 곤돌라 사이에 끼임</t>
  </si>
  <si>
    <t>울산 동구 | 끼임 | 2026. 07. 18(토) 16:52 | 사망 1명, 부상 0명</t>
  </si>
  <si>
    <t>202607231439148AXVB1</t>
  </si>
  <si>
    <t>[7/20, 충남 당진시] 적재기 조정 작업 중 끼임</t>
  </si>
  <si>
    <t>김인환</t>
  </si>
  <si>
    <t>재해자가 적재기 조정 작업 중 회전하는 적재기와 이송 설비 사이에 끼임.</t>
  </si>
  <si>
    <t>충남 당진시 | 끼임 | 2026. 07. 20(월) 16:24 | 사망 1명, 부상 0명</t>
  </si>
  <si>
    <t>20260723144017U817ZZ</t>
  </si>
  <si>
    <t>[7/15, 충북 청주시] 가동 중인 적재기 내부 점검 중 프레임에 끼임</t>
  </si>
  <si>
    <t>재해자가 제품 확인을 위해 가동 중인 적재기 내부 확인 중 설비 구동 프레임과 고정 프레임 사이에 끼임.</t>
  </si>
  <si>
    <t>충북 청주시 | 끼임 | 2026. 07. 15(수) 12:00 | 사망 1명, 부상 0명</t>
  </si>
  <si>
    <t>20260723144147R0QQPX</t>
  </si>
  <si>
    <t>[7/16, 대전 대덕구] 지붕재 보수 작업 중 떨어짐</t>
  </si>
  <si>
    <t>재해자가 지붕재 보수 작업 중 밟고 있던 채광창이 파손되어 바닥으로 떨어짐</t>
  </si>
  <si>
    <t>대전 대덕구 | 추락 | 2026. 07. 16(목) 14:12 | 사망 1명, 부상 0명</t>
  </si>
  <si>
    <t>2026072314431856R70C</t>
  </si>
  <si>
    <t>[7/16, 인천 제물포구] 지게차 앞바퀴 이물질 제거 중 하강하는 포크에 끼임</t>
  </si>
  <si>
    <t>재해자가 지게차 앞바퀴의 이물질 제거 작업 중 하강하는 지게차 포크에 끼임</t>
  </si>
  <si>
    <t>인천 제물포구 | 끼임 | 2026. 07. 16(목) 14:54 | 사망 1명, 부상 0명</t>
  </si>
  <si>
    <t>20260723144449ILV32V</t>
  </si>
  <si>
    <t>[7/22, 경기 평택시] 가공설비 정비 작업 중 끼임</t>
  </si>
  <si>
    <t>가공 설비 정비 작업 중 가동되는 설비의 내부 프레임과 격벽 사이에 끼임</t>
  </si>
  <si>
    <t>경기 평택시 | 끼임 | 2026. 07. 22(수) 12:48 | 사망 1명, 부상 0명</t>
  </si>
  <si>
    <t>20260723144609IDF532</t>
  </si>
  <si>
    <t>[7/22, 충남 보령시] 사다리에 올라가 만국기 설치 준비 작업 중 떨어짐</t>
  </si>
  <si>
    <t>재해자가 사다리에 올라가 만국기 설치를 위한 사전 준비 작업 중 바닥으로 떨어짐</t>
  </si>
  <si>
    <t>충남 보령시 | 추락 | 2026. 07. 22(수) 08:55 | 사망 1명, 부상 0명</t>
  </si>
  <si>
    <t>김형진</t>
  </si>
  <si>
    <t>202607260816410XA4MQ</t>
  </si>
  <si>
    <t>[7/22, 충남 서산시] 태양광 설비 전선 교체작업 중 감전</t>
  </si>
  <si>
    <t>차단기를 내리지 않은 상태로 태양광 설비 전선 교체작업 중 감전</t>
  </si>
  <si>
    <t>충남 서산시 | 감전 | 2026. 07. 22(수) 08:55 | 사망 1명, 부상 0명</t>
  </si>
  <si>
    <t>20260726081752B597FL</t>
  </si>
  <si>
    <t>[7/22, 경남 사천시] 제어판넬 내 전선 연결작업 중 감전</t>
  </si>
  <si>
    <t>재해자가 전원을 차단하지 않고 제어판넬 내 전선 연결 작업 중 감전</t>
  </si>
  <si>
    <t>경남 사천시 | 감전 | 2026. 07. 22(수) 14:45 | 사망 1명, 부상 0명</t>
  </si>
  <si>
    <t>202607260818320YYSHN</t>
  </si>
  <si>
    <t>[7/23, 대구 수성구] 창호틀 해체작업 중 단부로 떨어짐</t>
  </si>
  <si>
    <t>재해자가 2층 창호틀 해체 작업 중 단부로 떨어짐.</t>
  </si>
  <si>
    <t>대구 수성구 | 추락 | 2026. 07. 23(목) 10:02 | 사망 1명, 부상 0명</t>
  </si>
  <si>
    <t>20260726081908GJCKJ5</t>
  </si>
  <si>
    <t>[7/23, 경남 창녕군] 고소작업대와 상부 구조물 사이에 끼임</t>
  </si>
  <si>
    <t>재해자가 고소작업대에 탑승하여 천막 부착 작업 중 신체가 상승 레버에 접촉하여 갑자기 상승한 고소작업대와 상부 구조물 사이에 끼임</t>
  </si>
  <si>
    <t>경남 창녕군 | 끼임 | 2025. 07. 23(목) 13:44 | 사망 1명, 부상 0명</t>
  </si>
  <si>
    <t>노혜진</t>
  </si>
  <si>
    <t>류하영</t>
  </si>
  <si>
    <t>박금수</t>
  </si>
  <si>
    <t>서대석</t>
  </si>
  <si>
    <t>이소라</t>
  </si>
  <si>
    <t>이왕훈</t>
  </si>
  <si>
    <t>이재숙</t>
  </si>
  <si>
    <t>이정현</t>
  </si>
  <si>
    <t>일시</t>
  </si>
  <si>
    <t>장희은</t>
  </si>
  <si>
    <t>구분</t>
  </si>
  <si>
    <t>실시자</t>
  </si>
  <si>
    <t>내용</t>
  </si>
  <si>
    <t>특이사항</t>
  </si>
  <si>
    <t>사진</t>
  </si>
  <si>
    <t>명단</t>
  </si>
  <si>
    <t>서명</t>
  </si>
  <si>
    <t>안전공지</t>
  </si>
  <si>
    <t>생산공지</t>
  </si>
  <si>
    <t>전문자</t>
  </si>
  <si>
    <t>산공생산팀</t>
  </si>
  <si>
    <t>정추복</t>
  </si>
  <si>
    <t>✅ 개인보호구 착용 상태 확인 (안전모, 안전화 등)
✅ 작업 전 위험요인 파악 (추락, 협착 등 잠재 위험 공유)
✅ 건강 상태 및 환경 점검 (작업자 컨디션 및 정리정돈 확인)</t>
  </si>
  <si>
    <t>기계반 특이사항입니다.</t>
  </si>
  <si>
    <t>정추복, 오성한, 백성호, 허진호, 김진환, 설세호, 정용섭, 안종민, 신종윤, 송민우, 이창수, 지청용</t>
  </si>
  <si>
    <t>전지훈</t>
  </si>
  <si>
    <t>안전보건팀 전체 공지사항입니다. (진행)</t>
  </si>
  <si>
    <t>조립장</t>
  </si>
  <si>
    <t>생산팀 전체 공지입니다.</t>
  </si>
  <si>
    <t>정영수</t>
  </si>
  <si>
    <t>퓨얼셀</t>
  </si>
  <si>
    <t>기타</t>
  </si>
  <si>
    <t>황춘기</t>
  </si>
  <si>
    <t>[작업명: 소방 보수 공사]
화재 주의 !</t>
  </si>
  <si>
    <t>기술연구소</t>
  </si>
  <si>
    <t>강태욱</t>
  </si>
  <si>
    <t>황춘기, 이호성</t>
  </si>
  <si>
    <t>화재 주의!</t>
  </si>
  <si>
    <t>A팀</t>
  </si>
  <si>
    <t>김수현</t>
  </si>
  <si>
    <t>기계반</t>
  </si>
  <si>
    <t>정용섭</t>
  </si>
  <si>
    <t>김윤지</t>
  </si>
  <si>
    <t>정용섭, 정추복, 김창범, 오성한, 백성호, 허진호, 김진환, 설세호, 안종민, 신종윤, 송민우, 이창수, 지청용</t>
  </si>
  <si>
    <t>노형주</t>
  </si>
  <si>
    <t>정추복, 김창범, 오성한, 백성호, 허진호, 김진환, 설세호, 정용섭, 안종민, 신종윤, 송민우, 이창수, 지청용</t>
  </si>
  <si>
    <t>류성선</t>
  </si>
  <si>
    <t>박종혁</t>
  </si>
  <si>
    <t>박종혁, 우지수, 이종은, 박진용, 부워낫, 사롯, 이용환, 정연우, 김대혁</t>
  </si>
  <si>
    <t>박근효</t>
  </si>
  <si>
    <t>TEST</t>
  </si>
  <si>
    <t>박우상</t>
  </si>
  <si>
    <t>TEST장입니다.</t>
  </si>
  <si>
    <t>배종렬</t>
  </si>
  <si>
    <t>손성봉</t>
  </si>
  <si>
    <t>(안전보건팀) 기계반 공지사항입니다.</t>
  </si>
  <si>
    <t>(생산팀) 기계반 공지사항 입니다.</t>
  </si>
  <si>
    <t>손원경</t>
  </si>
  <si>
    <t>✅ 건강 상태 및 환경 점검 (작업자 컨디션 및 정리정돈 확인)</t>
  </si>
  <si>
    <t>송희근</t>
  </si>
  <si>
    <t>신상민</t>
  </si>
  <si>
    <t>양희철</t>
  </si>
  <si>
    <t xml:space="preserve">[작업명: 3층 증축 공사]
</t>
  </si>
  <si>
    <t>여은재</t>
  </si>
  <si>
    <t>이호성, 이정환, 이민혜</t>
  </si>
  <si>
    <t>용접 작업 중 화재 주의 !!</t>
  </si>
  <si>
    <t>윤호준</t>
  </si>
  <si>
    <t>3T 지게차 브레이크 고장</t>
  </si>
  <si>
    <t>기계반 공지사항입니다.</t>
  </si>
  <si>
    <t>(생산팀) 기계반 공지사항 예시 입니다.</t>
  </si>
  <si>
    <t>이광현</t>
  </si>
  <si>
    <t>다이캐스팅</t>
  </si>
  <si>
    <t>전정수</t>
  </si>
  <si>
    <t>전정수, 황선균</t>
  </si>
  <si>
    <t>이동신</t>
  </si>
  <si>
    <t>(생산팀) 다이캐스팅 공지사항 예시 입니다.</t>
  </si>
  <si>
    <t>이민우</t>
  </si>
  <si>
    <t>이수화</t>
  </si>
  <si>
    <t>송민우</t>
  </si>
  <si>
    <t>임석현</t>
  </si>
  <si>
    <t>장성재</t>
  </si>
  <si>
    <t>송민우, 정추복, 김창범, 오성한, 백성호, 허진호, 김진환, 설세호, 정용섭, 안종민, 신종윤, 이창수, 지청용</t>
  </si>
  <si>
    <t>장유정</t>
  </si>
  <si>
    <t>(안전보건팀) 기계반 공지사항 예시 입니다.</t>
  </si>
  <si>
    <t>장익수</t>
  </si>
  <si>
    <t>장호필</t>
  </si>
  <si>
    <t>최우진</t>
  </si>
  <si>
    <t>기계반 공지사항 예시 입니다.</t>
  </si>
  <si>
    <t>창녕 | 0.7°C 흐림</t>
  </si>
  <si>
    <t>최정현</t>
  </si>
  <si>
    <t>오성한</t>
  </si>
  <si>
    <t>최정훈</t>
  </si>
  <si>
    <t>오성한, 정추복, 김창범, 백성호, 허진호, 김진환, 설세호, 정용섭, 안종민, 신종윤, 송민우, 이창수, 지청용</t>
  </si>
  <si>
    <t>한성준</t>
  </si>
  <si>
    <t>창녕 | 13.1°C 흐림</t>
  </si>
  <si>
    <t>허원</t>
  </si>
  <si>
    <t>여 여보 여보세요 여보세요 여보세요</t>
  </si>
  <si>
    <t>기획팀</t>
  </si>
  <si>
    <t>김현제</t>
  </si>
  <si>
    <t>박수언</t>
  </si>
  <si>
    <t>창녕 | 7.3°C 흐림</t>
  </si>
  <si>
    <t>박정우</t>
  </si>
  <si>
    <t>배아람</t>
  </si>
  <si>
    <t>창녕 | 7.6°C 흐림</t>
  </si>
  <si>
    <t>3T 지게차 고장</t>
  </si>
  <si>
    <t>윤석</t>
  </si>
  <si>
    <t>창녕 | 6.8°C 맑음</t>
  </si>
  <si>
    <t>정석원</t>
  </si>
  <si>
    <t>납품팀</t>
  </si>
  <si>
    <t>김명진</t>
  </si>
  <si>
    <t>최근 대형 화재 사고가 잇따르고 있습니다. 
작업 전후 주변 위험 요소를 철저히 점검하여 화재 예방에 만전을 기해 주시기 바랍니다.</t>
  </si>
  <si>
    <t>창녕 | 15.7°C 흐림</t>
  </si>
  <si>
    <t>임펠러</t>
  </si>
  <si>
    <t>박근우</t>
  </si>
  <si>
    <t>김창서</t>
  </si>
  <si>
    <t>박근우, 김성규, 이우람, 주봉수, 윤항진, 이성호</t>
  </si>
  <si>
    <t>최근 대형 화재 사고가 잇따르고 있습니다. 
주변 위험 요소를 철저히 점검하여 화재 예방에 만전을 기해 주시기 바랍니다.</t>
  </si>
  <si>
    <t>작업 전·후 주변 가연물 정리와 설비 점검을 철저히 실시 바랍니다.</t>
  </si>
  <si>
    <t>창녕 | 16.0°C 흐림</t>
  </si>
  <si>
    <t>문태우</t>
  </si>
  <si>
    <t>AC</t>
  </si>
  <si>
    <t>조민래</t>
  </si>
  <si>
    <t>안전하게 작업 시작</t>
  </si>
  <si>
    <t>조민래, 길기동, 조순덕, 콤삭</t>
  </si>
  <si>
    <t>박용생</t>
  </si>
  <si>
    <t>김해 | 4.3°C 맑음</t>
  </si>
  <si>
    <t>박중규</t>
  </si>
  <si>
    <t>박근우, 김성규, 이우람, 이성호</t>
  </si>
  <si>
    <t>창녕 | 3.8°C 맑음</t>
  </si>
  <si>
    <t>배성규</t>
  </si>
  <si>
    <t>길기동</t>
  </si>
  <si>
    <t>길기동, 조순덕, 콤삭</t>
  </si>
  <si>
    <t>이상곤</t>
  </si>
  <si>
    <t>김해 | 5.6°C 맑음</t>
  </si>
  <si>
    <t>이종문</t>
  </si>
  <si>
    <t>사장님 창녕공장 방문</t>
  </si>
  <si>
    <t>창녕 | 4.4°C 맑음</t>
  </si>
  <si>
    <t>이준호</t>
  </si>
  <si>
    <t>사장님 창녕공장 방문
임펠라 건강검진</t>
  </si>
  <si>
    <t>임대현</t>
  </si>
  <si>
    <t>창녕 | 11.3°C 흐림</t>
  </si>
  <si>
    <t>전종명</t>
  </si>
  <si>
    <t>전종현</t>
  </si>
  <si>
    <t>정기정</t>
  </si>
  <si>
    <t>김해 | 11.5°C 구름많음</t>
  </si>
  <si>
    <t>김대혁</t>
  </si>
  <si>
    <t>김선우</t>
  </si>
  <si>
    <t>창녕 | 12.0°C 구름많음</t>
  </si>
  <si>
    <t>김철근</t>
  </si>
  <si>
    <t>창녕 | 8.0°C 맑음</t>
  </si>
  <si>
    <t>박상대</t>
  </si>
  <si>
    <t>박승호</t>
  </si>
  <si>
    <t>창녕 | 6.5°C 구름많음</t>
  </si>
  <si>
    <t>정용석</t>
  </si>
  <si>
    <t>김해 | 10.1°C 구름많음</t>
  </si>
  <si>
    <t>정진길</t>
  </si>
  <si>
    <t>중국 노벤코 2공장 관계자 방문</t>
  </si>
  <si>
    <t>조기재</t>
  </si>
  <si>
    <t>창녕 | 10.9°C 흐림</t>
  </si>
  <si>
    <t>지병곤</t>
  </si>
  <si>
    <t>천종민</t>
  </si>
  <si>
    <t>최재훈</t>
  </si>
  <si>
    <t>박근우, 김성규, 이우람, 윤항진, 이성호</t>
  </si>
  <si>
    <t>황동찬</t>
  </si>
  <si>
    <t>창녕 | 8.3°C 맑음</t>
  </si>
  <si>
    <t>생산계획팀</t>
  </si>
  <si>
    <t>강호근</t>
  </si>
  <si>
    <t>김회수</t>
  </si>
  <si>
    <t>창녕 | 3.9°C 맑음</t>
  </si>
  <si>
    <t>박병준</t>
  </si>
  <si>
    <t>손상우</t>
  </si>
  <si>
    <t>창녕 | 9.4°C 흐림</t>
  </si>
  <si>
    <t>윤수한</t>
  </si>
  <si>
    <t>생산기술팀</t>
  </si>
  <si>
    <t>강동룡</t>
  </si>
  <si>
    <t>창녕 | 15.4°C 흐림</t>
  </si>
  <si>
    <t>구동일</t>
  </si>
  <si>
    <t>김경환</t>
  </si>
  <si>
    <t>창녕 | 13.0°C 구름많음</t>
  </si>
  <si>
    <t>김길태</t>
  </si>
  <si>
    <t>창녕 | 14.6°C 흐림</t>
  </si>
  <si>
    <t>김원영</t>
  </si>
  <si>
    <t>이정훈</t>
  </si>
  <si>
    <t>창녕 | 13.3°C 흐림</t>
  </si>
  <si>
    <t>진상민</t>
  </si>
  <si>
    <t>창녕 | 12.2°C 맑음</t>
  </si>
  <si>
    <t>안전보건팀</t>
  </si>
  <si>
    <t>박근우, 김성규, 이우람, 주봉수, 이성호</t>
  </si>
  <si>
    <t>노상현</t>
  </si>
  <si>
    <t>창녕 | 10.6°C 흐림</t>
  </si>
  <si>
    <t>영업부문</t>
  </si>
  <si>
    <t>권민수</t>
  </si>
  <si>
    <t>김해 | 14.4°C 맑음</t>
  </si>
  <si>
    <t>김동진</t>
  </si>
  <si>
    <t>김명윤</t>
  </si>
  <si>
    <t>김성준</t>
  </si>
  <si>
    <t>창녕 | 13.1°C 맑음</t>
  </si>
  <si>
    <t>김정삼</t>
  </si>
  <si>
    <t>박홍재</t>
  </si>
  <si>
    <t>창녕 | 8.8°C 구름많음</t>
  </si>
  <si>
    <t>서정수</t>
  </si>
  <si>
    <t>노벤코 이사진 창녕공장 방문</t>
  </si>
  <si>
    <t>유동엽</t>
  </si>
  <si>
    <t>창녕 | 11.9°C 구름많음</t>
  </si>
  <si>
    <t>윤순재</t>
  </si>
  <si>
    <t>이다희</t>
  </si>
  <si>
    <t>이성기</t>
  </si>
  <si>
    <t>이성수</t>
  </si>
  <si>
    <t>이연진</t>
  </si>
  <si>
    <t>창녕 | 10.0°C 구름많음</t>
  </si>
  <si>
    <t>이원정</t>
  </si>
  <si>
    <t>이창호</t>
  </si>
  <si>
    <t>창녕 | 13.4°C 맑음</t>
  </si>
  <si>
    <t>임재진</t>
  </si>
  <si>
    <t>장승진</t>
  </si>
  <si>
    <t>창녕 | 22.4°C 맑음</t>
  </si>
  <si>
    <t>전현구</t>
  </si>
  <si>
    <t>정재윤</t>
  </si>
  <si>
    <t>창녕 | 14.9°C 흐림</t>
  </si>
  <si>
    <t>조경훈</t>
  </si>
  <si>
    <t>천유진</t>
  </si>
  <si>
    <t>창녕 | 11.3°C 구름많음</t>
  </si>
  <si>
    <t>최병민</t>
  </si>
  <si>
    <t>현장 화장실 청소 관리</t>
  </si>
  <si>
    <t>최재용</t>
  </si>
  <si>
    <t>김해 | 12.6°C 흐림</t>
  </si>
  <si>
    <t>추병화</t>
  </si>
  <si>
    <t>adanaris</t>
  </si>
  <si>
    <t>ygbuhayalvin</t>
  </si>
  <si>
    <t>박근우, 김성규, 이우람, 주봉수, 윤항진</t>
  </si>
  <si>
    <t>창녕 | 13.7°C 맑음</t>
  </si>
  <si>
    <t>자재팀</t>
  </si>
  <si>
    <t>강민석</t>
  </si>
  <si>
    <t>견종현</t>
  </si>
  <si>
    <t>박근우, 이우람, 주봉수, 윤항진, 이성호</t>
  </si>
  <si>
    <t>권오진</t>
  </si>
  <si>
    <t>김도형</t>
  </si>
  <si>
    <t>창녕 | 14.6°C 구름많음</t>
  </si>
  <si>
    <t>김병환</t>
  </si>
  <si>
    <t>김상우</t>
  </si>
  <si>
    <t>창녕 | 16.5°C 맑음</t>
  </si>
  <si>
    <t>김해택</t>
  </si>
  <si>
    <t>창녕 | 14.5°C 맑음</t>
  </si>
  <si>
    <t>남기훈</t>
  </si>
  <si>
    <t>배주완</t>
  </si>
  <si>
    <t>창녕 | 16.3°C 흐림</t>
  </si>
  <si>
    <t>양성민</t>
  </si>
  <si>
    <t>회장님 창녕공장 방문</t>
  </si>
  <si>
    <t>여인호</t>
  </si>
  <si>
    <t>유준상</t>
  </si>
  <si>
    <t>창녕 | 13.7°C 구름많음</t>
  </si>
  <si>
    <t>윤태원</t>
  </si>
  <si>
    <t>윤혜선</t>
  </si>
  <si>
    <t>이석호</t>
  </si>
  <si>
    <t>창녕 | 16.7°C 맑음</t>
  </si>
  <si>
    <t>이수옥</t>
  </si>
  <si>
    <t>창녕 | 17.3°C 맑음</t>
  </si>
  <si>
    <t>이정상</t>
  </si>
  <si>
    <t>창녕 | 18.7°C 맑음</t>
  </si>
  <si>
    <t>이현우</t>
  </si>
  <si>
    <t>창녕 | 16.7°C 비</t>
  </si>
  <si>
    <t>장영철</t>
  </si>
  <si>
    <t>정민식</t>
  </si>
  <si>
    <t>박근우, 김성규, 주봉수, 윤항진, 이성호</t>
  </si>
  <si>
    <t>창녕 | 18.8°C 흐림</t>
  </si>
  <si>
    <t>지민호</t>
  </si>
  <si>
    <t>창녕 | 20.7°C 흐림</t>
  </si>
  <si>
    <t>최준혁</t>
  </si>
  <si>
    <t>황도민</t>
  </si>
  <si>
    <t>창녕 | 20.4°C 흐림</t>
  </si>
  <si>
    <t>재경팀</t>
  </si>
  <si>
    <t>강민기</t>
  </si>
  <si>
    <t>김예림</t>
  </si>
  <si>
    <t>창녕 | 21.0°C 구름많음</t>
  </si>
  <si>
    <t>김호성</t>
  </si>
  <si>
    <t>염도현</t>
  </si>
  <si>
    <t>창녕 | 19.7°C 맑음</t>
  </si>
  <si>
    <t>조진희</t>
  </si>
  <si>
    <t>최성은</t>
  </si>
  <si>
    <t>최수진</t>
  </si>
  <si>
    <t>창녕 | 18.9°C 구름많음</t>
  </si>
  <si>
    <t>품질경영팀</t>
  </si>
  <si>
    <t>김민석</t>
  </si>
  <si>
    <t>김영보</t>
  </si>
  <si>
    <t>창녕 | 19.7°C 비</t>
  </si>
  <si>
    <t>김영우</t>
  </si>
  <si>
    <t>김주현</t>
  </si>
  <si>
    <t>창녕 | 23.4°C 흐림</t>
  </si>
  <si>
    <t>김주훈</t>
  </si>
  <si>
    <t>김진부</t>
  </si>
  <si>
    <t>창녕 | 20.8°C 맑음</t>
  </si>
  <si>
    <t>김진수</t>
  </si>
  <si>
    <t>박수성</t>
  </si>
  <si>
    <t>박순호</t>
  </si>
  <si>
    <t>창녕 | 19.2°C 흐림</t>
  </si>
  <si>
    <t>반은반</t>
  </si>
  <si>
    <t>서상렬</t>
  </si>
  <si>
    <t>창녕 | 17.5°C 구름많음</t>
  </si>
  <si>
    <t>신이섭</t>
  </si>
  <si>
    <t>이광철</t>
  </si>
  <si>
    <t>창녕 | 17.9°C 맑음</t>
  </si>
  <si>
    <t>이영빈</t>
  </si>
  <si>
    <t>이용혁</t>
  </si>
  <si>
    <t>김해 | 20.0°C 구름많음</t>
  </si>
  <si>
    <t>이유림</t>
  </si>
  <si>
    <t>장석태</t>
  </si>
  <si>
    <t>전지은</t>
  </si>
  <si>
    <t>최상원</t>
  </si>
  <si>
    <t>하재은</t>
  </si>
  <si>
    <t>황동환</t>
  </si>
  <si>
    <t>황지석</t>
  </si>
  <si>
    <t>ARIOLAZOILO</t>
  </si>
  <si>
    <t>jovencios.vicente</t>
  </si>
  <si>
    <t>AC생산팀</t>
  </si>
  <si>
    <t>곽해진</t>
  </si>
  <si>
    <t>권우영</t>
  </si>
  <si>
    <t>김경호</t>
  </si>
  <si>
    <t>김근훈</t>
  </si>
  <si>
    <t>김성호</t>
  </si>
  <si>
    <t>김영주</t>
  </si>
  <si>
    <t>노경수</t>
  </si>
  <si>
    <t>민성재</t>
  </si>
  <si>
    <t>박병욱</t>
  </si>
  <si>
    <t>박제석</t>
  </si>
  <si>
    <t>손병열</t>
  </si>
  <si>
    <t>송광훈</t>
  </si>
  <si>
    <t>양성훈</t>
  </si>
  <si>
    <t>연제호</t>
  </si>
  <si>
    <t>오재원</t>
  </si>
  <si>
    <t>우창석</t>
  </si>
  <si>
    <t>위라삭</t>
  </si>
  <si>
    <t>윤원근</t>
  </si>
  <si>
    <t>이상근</t>
  </si>
  <si>
    <t>이상민</t>
  </si>
  <si>
    <t>이상일</t>
  </si>
  <si>
    <t>이성민</t>
  </si>
  <si>
    <t>임봉열</t>
  </si>
  <si>
    <t>임주청</t>
  </si>
  <si>
    <t>장형욱</t>
  </si>
  <si>
    <t>전영권</t>
  </si>
  <si>
    <t>조순덕</t>
  </si>
  <si>
    <t>조승호</t>
  </si>
  <si>
    <t>조용우</t>
  </si>
  <si>
    <t>주선우</t>
  </si>
  <si>
    <t>janejangkomsak</t>
  </si>
  <si>
    <t>AS팀</t>
  </si>
  <si>
    <t>권용현</t>
  </si>
  <si>
    <t>김기범</t>
  </si>
  <si>
    <t>김기환</t>
  </si>
  <si>
    <t>김동우</t>
  </si>
  <si>
    <t>김정구</t>
  </si>
  <si>
    <t>김정일</t>
  </si>
  <si>
    <t>김지훈</t>
  </si>
  <si>
    <t>김진미</t>
  </si>
  <si>
    <t>김현준</t>
  </si>
  <si>
    <t>김희진</t>
  </si>
  <si>
    <t>박서연</t>
  </si>
  <si>
    <t>박진수</t>
  </si>
  <si>
    <t>박진용</t>
  </si>
  <si>
    <t>박창연</t>
  </si>
  <si>
    <t>박현</t>
  </si>
  <si>
    <t>박현철</t>
  </si>
  <si>
    <t>서형욱</t>
  </si>
  <si>
    <t>설남수</t>
  </si>
  <si>
    <t>성병일</t>
  </si>
  <si>
    <t>성호영</t>
  </si>
  <si>
    <t>양애희</t>
  </si>
  <si>
    <t>위청룡</t>
  </si>
  <si>
    <t>유환선</t>
  </si>
  <si>
    <t>윤재영</t>
  </si>
  <si>
    <t>이나라</t>
  </si>
  <si>
    <t>이상범</t>
  </si>
  <si>
    <t>이상재</t>
  </si>
  <si>
    <t>이현철</t>
  </si>
  <si>
    <t>정우형</t>
  </si>
  <si>
    <t>정형미</t>
  </si>
  <si>
    <t>최재형</t>
  </si>
  <si>
    <t>최창원</t>
  </si>
  <si>
    <t>추헌태</t>
  </si>
  <si>
    <t>한정우</t>
  </si>
  <si>
    <t>FuelCell사업부</t>
  </si>
  <si>
    <t>남지훈</t>
  </si>
  <si>
    <t>문태실</t>
  </si>
  <si>
    <t>부산</t>
  </si>
  <si>
    <t xml:space="preserve">구조설계팀 </t>
  </si>
  <si>
    <t>권준혁</t>
  </si>
  <si>
    <t>김명수</t>
  </si>
  <si>
    <t>김명환</t>
  </si>
  <si>
    <t>김민정</t>
  </si>
  <si>
    <t>김완희</t>
  </si>
  <si>
    <t>마승우</t>
  </si>
  <si>
    <t>박철오</t>
  </si>
  <si>
    <t>송경민</t>
  </si>
  <si>
    <t>송준영</t>
  </si>
  <si>
    <t>예병현</t>
  </si>
  <si>
    <t>유정민</t>
  </si>
  <si>
    <t>이상혁</t>
  </si>
  <si>
    <t>이성율</t>
  </si>
  <si>
    <t>이정윤</t>
  </si>
  <si>
    <t>이준영</t>
  </si>
  <si>
    <t>최선기</t>
  </si>
  <si>
    <t>황상준</t>
  </si>
  <si>
    <t>기술1팀</t>
  </si>
  <si>
    <t>공미경</t>
  </si>
  <si>
    <t>국종민</t>
  </si>
  <si>
    <t>권영준</t>
  </si>
  <si>
    <t>길륜한</t>
  </si>
  <si>
    <t>김경보</t>
  </si>
  <si>
    <t>김광민</t>
  </si>
  <si>
    <t>김동훈</t>
  </si>
  <si>
    <t>김성환</t>
  </si>
  <si>
    <t>김윤서</t>
  </si>
  <si>
    <t>김향태</t>
  </si>
  <si>
    <t>김현</t>
  </si>
  <si>
    <t>김희성</t>
  </si>
  <si>
    <t>문성민</t>
  </si>
  <si>
    <t>박건락</t>
  </si>
  <si>
    <t>박광석</t>
  </si>
  <si>
    <t>박승현</t>
  </si>
  <si>
    <t>박은주</t>
  </si>
  <si>
    <t>박정환</t>
  </si>
  <si>
    <t>위치</t>
  </si>
  <si>
    <t>김해</t>
  </si>
  <si>
    <t>박주용</t>
  </si>
  <si>
    <t>창녕</t>
  </si>
  <si>
    <t>박홍규</t>
  </si>
  <si>
    <t>부서명</t>
  </si>
  <si>
    <t>AHU</t>
  </si>
  <si>
    <t>DAMPER</t>
  </si>
  <si>
    <t>HEATPP</t>
  </si>
  <si>
    <t>배서연</t>
  </si>
  <si>
    <t>PROV</t>
  </si>
  <si>
    <t>SPARE</t>
  </si>
  <si>
    <t>납품준비</t>
  </si>
  <si>
    <t>미음</t>
  </si>
  <si>
    <t>설우진</t>
  </si>
  <si>
    <t>자재</t>
  </si>
  <si>
    <t>포밍</t>
  </si>
  <si>
    <t>성민석</t>
  </si>
  <si>
    <t>성창환</t>
  </si>
  <si>
    <t>우지수</t>
  </si>
  <si>
    <t>한영기</t>
  </si>
  <si>
    <t>최승환</t>
  </si>
  <si>
    <t>김영재</t>
  </si>
  <si>
    <t>최대한</t>
  </si>
  <si>
    <t>손성호</t>
  </si>
  <si>
    <t>김창범</t>
  </si>
  <si>
    <t>황선균</t>
  </si>
  <si>
    <t>이종은</t>
  </si>
  <si>
    <t>김성규</t>
  </si>
  <si>
    <t>이동주</t>
  </si>
  <si>
    <t>박재석</t>
  </si>
  <si>
    <t>박기봉</t>
  </si>
  <si>
    <t>조치현</t>
  </si>
  <si>
    <t>손형호</t>
  </si>
  <si>
    <t>이우람</t>
  </si>
  <si>
    <t>신동환</t>
  </si>
  <si>
    <t>하도현</t>
  </si>
  <si>
    <t>이기준</t>
  </si>
  <si>
    <t>조재근</t>
  </si>
  <si>
    <t>콤삭</t>
  </si>
  <si>
    <t>백성호</t>
  </si>
  <si>
    <t>여성백</t>
  </si>
  <si>
    <t>주봉수</t>
  </si>
  <si>
    <t>이우석</t>
  </si>
  <si>
    <t>김병수</t>
  </si>
  <si>
    <t>동상훈</t>
  </si>
  <si>
    <t>윤동현</t>
  </si>
  <si>
    <t>허진호</t>
  </si>
  <si>
    <t>부워낫</t>
  </si>
  <si>
    <t>윤항진</t>
  </si>
  <si>
    <t>김원덕</t>
  </si>
  <si>
    <t>강구헌</t>
  </si>
  <si>
    <t>양한용</t>
  </si>
  <si>
    <t>이강호</t>
  </si>
  <si>
    <t>김진환</t>
  </si>
  <si>
    <t>이광민</t>
  </si>
  <si>
    <t>사롯</t>
  </si>
  <si>
    <t>이성호</t>
  </si>
  <si>
    <t>김성용</t>
  </si>
  <si>
    <t>황태귀</t>
  </si>
  <si>
    <t>김종문</t>
  </si>
  <si>
    <t>이상현</t>
  </si>
  <si>
    <t>이지송</t>
  </si>
  <si>
    <t>설세호</t>
  </si>
  <si>
    <t>이용환</t>
  </si>
  <si>
    <t>김대기</t>
  </si>
  <si>
    <t>임장섭</t>
  </si>
  <si>
    <t>김진호</t>
  </si>
  <si>
    <t>정규현</t>
  </si>
  <si>
    <t>정연우</t>
  </si>
  <si>
    <t>이동우</t>
  </si>
  <si>
    <t>지민우</t>
  </si>
  <si>
    <t>김광준</t>
  </si>
  <si>
    <t>안종민</t>
  </si>
  <si>
    <t>천세원</t>
  </si>
  <si>
    <t>김현진</t>
  </si>
  <si>
    <t>이정철</t>
  </si>
  <si>
    <t>최윤석</t>
  </si>
  <si>
    <t>신종윤</t>
  </si>
  <si>
    <t>조광래</t>
  </si>
  <si>
    <t>이종원</t>
  </si>
  <si>
    <t>최장식</t>
  </si>
  <si>
    <t>최호식</t>
  </si>
  <si>
    <t>배광호</t>
  </si>
  <si>
    <t>한성희</t>
  </si>
  <si>
    <t>이창수</t>
  </si>
  <si>
    <t>이상욱</t>
  </si>
  <si>
    <t>허재완</t>
  </si>
  <si>
    <t>지청용</t>
  </si>
  <si>
    <t>임용승</t>
  </si>
  <si>
    <t>황은지</t>
  </si>
  <si>
    <t>기술2팀</t>
  </si>
  <si>
    <t>강경수</t>
  </si>
  <si>
    <t>강신길</t>
  </si>
  <si>
    <t>강유진</t>
  </si>
  <si>
    <t>강재식</t>
  </si>
  <si>
    <t>고동근</t>
  </si>
  <si>
    <t>고재만</t>
  </si>
  <si>
    <t>공현호</t>
  </si>
  <si>
    <t>권봉재</t>
  </si>
  <si>
    <t>김동환</t>
  </si>
  <si>
    <t>김세준</t>
  </si>
  <si>
    <t>개인보호구 착용 상태 확인 (안전모, 안전화 등)</t>
  </si>
  <si>
    <t>김재민</t>
  </si>
  <si>
    <t>김재호</t>
  </si>
  <si>
    <t>작업 전 위험요인 파악 (추락, 협착 등 잠재 위험 공유)</t>
  </si>
  <si>
    <t>김준수</t>
  </si>
  <si>
    <t>건강 상태 및 환경 점검 (작업자 컨디션 및 정리정돈 확인)</t>
  </si>
  <si>
    <t>김학열</t>
  </si>
  <si>
    <t>류상완</t>
  </si>
  <si>
    <t>문상윤</t>
  </si>
  <si>
    <t>박배희</t>
  </si>
  <si>
    <t>박선영</t>
  </si>
  <si>
    <t>박우현</t>
  </si>
  <si>
    <t>박진욱</t>
  </si>
  <si>
    <t>박해경</t>
  </si>
  <si>
    <t>박혜진</t>
  </si>
  <si>
    <t>공지(안전)</t>
  </si>
  <si>
    <t>서승기</t>
  </si>
  <si>
    <t>서하늘</t>
  </si>
  <si>
    <t>공지(안전) 시작</t>
  </si>
  <si>
    <t>성민재</t>
  </si>
  <si>
    <t>심두현</t>
  </si>
  <si>
    <t>공지(안전) 끝</t>
  </si>
  <si>
    <t>안순범</t>
  </si>
  <si>
    <t>공지(부서)</t>
  </si>
  <si>
    <t>양승지</t>
  </si>
  <si>
    <t>공지(부서) 시작</t>
  </si>
  <si>
    <t>오석주</t>
  </si>
  <si>
    <t>공지(부서) 끝</t>
  </si>
  <si>
    <t>유시광</t>
  </si>
  <si>
    <t>이상진</t>
  </si>
  <si>
    <t>이승현</t>
  </si>
  <si>
    <t>이형준</t>
  </si>
  <si>
    <t>정신현</t>
  </si>
  <si>
    <t>조현진</t>
  </si>
  <si>
    <t>주경수</t>
  </si>
  <si>
    <t>최성민</t>
  </si>
  <si>
    <t>하정현</t>
  </si>
  <si>
    <t>한규진</t>
  </si>
  <si>
    <t>허정현</t>
  </si>
  <si>
    <t>황순길</t>
  </si>
  <si>
    <t>황찬희</t>
  </si>
  <si>
    <t>황현호</t>
  </si>
  <si>
    <t>HERRERAHERSON</t>
  </si>
  <si>
    <t>PRECIOSORAYMOND</t>
  </si>
  <si>
    <t>기술3팀</t>
  </si>
  <si>
    <t>강상우</t>
  </si>
  <si>
    <t>고부기</t>
  </si>
  <si>
    <t>Timestamp</t>
  </si>
  <si>
    <t>성별</t>
  </si>
  <si>
    <t>부서</t>
  </si>
  <si>
    <t>성명</t>
  </si>
  <si>
    <t>총점</t>
  </si>
  <si>
    <t>위험도</t>
  </si>
  <si>
    <t>상세점수(JSON)</t>
  </si>
  <si>
    <t>응답원본(JSON)</t>
  </si>
  <si>
    <t>김경진</t>
  </si>
  <si>
    <t>남성</t>
  </si>
  <si>
    <t>{"관계갈등":{"score":66.7,"risk":"고위험"},"조직체계":{"score":50,"risk":"정상"},"직무자율":{"score":58.3,"risk":"주의"},"물리환경":{"score":0,"risk":"정상"},"보상부적절":{"score":66.7,"risk":"고위험"},"직무불안정":{"score":50,"risk":"정상"},"직무요구":{"score":66.7,"risk":"고위험"},"직장문화":{"score":66.7,"risk":"고위험"}}</t>
  </si>
  <si>
    <t>고위험(상담필요)</t>
  </si>
  <si>
    <t>{"Q12":1,"Q19":3,"Q10":3,"Q2":1,"Q22":3,"Q16":3,"Q20":2,"Q14":4,"Q18":1,"Q13":3,"Q3":3,"Q5":4,"Q21":1,"Q1":1,"Q17":4,"Q23":3,"Q7":2,"Q11":2,"Q24":3,"Q6":3,"Q9":2,"Q4":2,"Q15":1,"Q8":3}</t>
  </si>
  <si>
    <t>여성</t>
  </si>
  <si>
    <t>{"조직체계":{"score":25,"risk":"정상"},"물리환경":{"score":66.7,"risk":"정상"},"관계갈등":{"score":77.8,"risk":"고위험"},"보상부적절":{"score":44.4,"risk":"정상"},"직무요구":{"score":41.7,"risk":"정상"},"직무자율":{"score":58.3,"risk":"정상"},"직장문화":{"score":33.3,"risk":"정상"},"직무불안정":{"score":33.3,"risk":"정상"}}</t>
  </si>
  <si>
    <t>정상(양호)</t>
  </si>
  <si>
    <t>{"Q17":2,"Q1":2,"Q12":3,"Q13":1,"Q21":1,"Q6":1,"Q7":2,"Q23":1,"Q15":1,"Q9":2,"Q5":3,"Q18":4,"Q4":4,"Q10":4,"Q14":3,"Q20":4,"Q3":1,"Q24":3,"Q2":4,"Q19":1,"Q11":1,"Q16":3,"Q22":3,"Q8":4}</t>
  </si>
  <si>
    <t>김수제</t>
  </si>
  <si>
    <t>{"직무자율":{"score":25,"risk":"정상"},"직무불안정":{"score":50,"risk":"정상"},"보상부적절":{"score":66.7,"risk":"고위험"},"직장문화":{"score":50,"risk":"주의"},"조직체계":{"score":75,"risk":"고위험"},"직무요구":{"score":50,"risk":"정상"},"물리환경":{"score":50,"risk":"정상"},"관계갈등":{"score":33.3,"risk":"정상"}}</t>
  </si>
  <si>
    <t>위험(주의요망)</t>
  </si>
  <si>
    <t>{"Q10":1,"Q14":1,"Q21":4,"Q22":1,"Q23":4,"Q19":4,"Q5":3,"Q15":4,"Q2":4,"Q13":4,"Q11":4,"Q12":1,"Q17":4,"Q6":1,"Q16":1,"Q8":1,"Q24":1,"Q20":1,"Q4":2,"Q1":1,"Q18":1,"Q9":4,"Q3":4,"Q7":4}</t>
  </si>
  <si>
    <t>{"물리환경":{"score":16.7,"risk":"정상"},"관계갈등":{"score":66.7,"risk":"고위험"},"직무자율":{"score":33.3,"risk":"정상"},"조직체계":{"score":75,"risk":"고위험"},"보상부적절":{"score":100,"risk":"고위험"},"직장문화":{"score":0,"risk":"정상"},"직무요구":{"score":83.3,"risk":"고위험"},"직무불안정":{"score":83.3,"risk":"고위험"}}</t>
  </si>
  <si>
    <t>{"Q2":2,"Q13":2,"Q10":3,"Q18":1,"Q21":1,"Q23":1,"Q7":4,"Q22":1,"Q17":1,"Q19":1,"Q12":1,"Q20":1,"Q24":1,"Q3":2,"Q14":3,"Q15":4,"Q8":4,"Q9":4,"Q16":1,"Q5":4,"Q1":1,"Q6":4,"Q4":4,"Q11":3}</t>
  </si>
  <si>
    <t>{"직무불안정":{"score":66.7,"risk":"고위험"},"물리환경":{"score":66.7,"risk":"정상"},"보상부적절":{"score":44.4,"risk":"정상"},"관계갈등":{"score":66.7,"risk":"고위험"},"직무자율":{"score":66.7,"risk":"고위험"},"조직체계":{"score":50,"risk":"정상"},"직무요구":{"score":33.3,"risk":"정상"},"직장문화":{"score":50,"risk":"주의"}}</t>
  </si>
  <si>
    <t>{"Q15":2,"Q2":4,"Q22":2,"Q20":3,"Q12":1,"Q13":4,"Q9":3,"Q16":1,"Q4":1,"Q6":2,"Q18":2,"Q8":3,"Q19":1,"Q23":4,"Q14":4,"Q10":2,"Q17":3,"Q5":3,"Q1":2,"Q11":1,"Q21":3,"Q7":1,"Q24":1,"Q3":2}</t>
  </si>
  <si>
    <t>김준영</t>
  </si>
  <si>
    <t>{"직무자율":{"score":25,"risk":"정상"},"보상부적절":{"score":0,"risk":"정상"},"물리환경":{"score":0,"risk":"정상"},"직무요구":{"score":0,"risk":"정상"},"직무불안정":{"score":0,"risk":"정상"},"직장문화":{"score":0,"risk":"정상"},"조직체계":{"score":0,"risk":"정상"},"관계갈등":{"score":0,"risk":"정상"}}</t>
  </si>
  <si>
    <t>{"Q10":4,"Q22":4,"Q2":1,"Q4":1,"Q15":1,"Q14":1,"Q24":1,"Q16":4,"Q23":1,"Q21":4,"Q7":4,"Q6":1,"Q1":1,"Q17":4,"Q8":1,"Q19":1,"Q12":4,"Q9":1,"Q11":4,"Q3":1,"Q5":1,"Q18":4,"Q13":4,"Q20":4}</t>
  </si>
  <si>
    <t>{"직무자율":{"score":41.7,"risk":"정상"},"조직체계":{"score":41.7,"risk":"정상"},"직무요구":{"score":50,"risk":"정상"},"직장문화":{"score":50,"risk":"주의"},"물리환경":{"score":50,"risk":"정상"},"직무불안정":{"score":50,"risk":"정상"},"관계갈등":{"score":44.4,"risk":"주의"},"보상부적절":{"score":44.4,"risk":"정상"}}</t>
  </si>
  <si>
    <t>{"Q8":2,"Q16":2,"Q4":2,"Q23":2,"Q9":3,"Q6":2,"Q2":2,"Q15":3,"Q18":3,"Q7":3,"Q13":3,"Q20":3,"Q5":3,"Q14":2,"Q17":3,"Q3":3,"Q21":2,"Q24":3,"Q10":2,"Q1":3,"Q22":3,"Q12":2,"Q11":3,"Q19":2}</t>
  </si>
  <si>
    <t>{"직무요구":{"score":33.3,"risk":"정상"},"관계갈등":{"score":66.7,"risk":"고위험"},"보상부적절":{"score":66.7,"risk":"고위험"},"직무자율":{"score":58.3,"risk":"정상"},"직무불안정":{"score":33.3,"risk":"정상"},"직장문화":{"score":33.3,"risk":"정상"},"물리환경":{"score":33.3,"risk":"정상"},"조직체계":{"score":58.3,"risk":"주의"}}</t>
  </si>
  <si>
    <t>{"Q4":2,"Q11":2,"Q3":2,"Q20":2,"Q6":2,"Q7":2,"Q14":2,"Q12":2,"Q23":2,"Q8":2,"Q2":2,"Q18":2,"Q21":2,"Q24":2,"Q17":2,"Q22":2,"Q19":2,"Q15":2,"Q5":2,"Q10":2,"Q9":2,"Q13":2,"Q16":2,"Q1":2}</t>
  </si>
  <si>
    <t>{"조직체계":{"score":25,"risk":"정상"},"보상부적절":{"score":0,"risk":"정상"},"직무불안정":{"score":100,"risk":"고위험"},"직무자율":{"score":25,"risk":"정상"},"직장문화":{"score":100,"risk":"고위험"},"관계갈등":{"score":0,"risk":"정상"},"직무요구":{"score":100,"risk":"고위험"},"물리환경":{"score":100,"risk":"정상"}}</t>
  </si>
  <si>
    <t>{"Q19":4,"Q22":4,"Q15":4,"Q8":4,"Q24":4,"Q21":4,"Q9":4,"Q12":4,"Q11":4,"Q6":4,"Q4":4,"Q5":4,"Q16":4,"Q10":4,"Q7":4,"Q14":4,"Q17":4,"Q13":4,"Q1":4,"Q3":4,"Q20":4,"Q18":4,"Q23":4,"Q2":4}</t>
  </si>
  <si>
    <t>{"조직체계":{"score":75,"risk":"고위험"},"직무자율":{"score":75,"risk":"고위험"},"직장문화":{"score":0,"risk":"정상"},"보상부적절":{"score":100,"risk":"고위험"},"직무불안정":{"score":0,"risk":"정상"},"물리환경":{"score":0,"risk":"정상"},"직무요구":{"score":0,"risk":"정상"},"관계갈등":{"score":100,"risk":"고위험"}}</t>
  </si>
  <si>
    <t>{"Q17":1,"Q8":1,"Q10":1,"Q24":1,"Q9":1,"Q7":1,"Q22":1,"Q20":1,"Q23":1,"Q19":1,"Q15":1,"Q16":1,"Q18":1,"Q1":1,"Q3":1,"Q12":1,"Q11":1,"Q13":1,"Q21":1,"Q6":1,"Q2":1,"Q4":1,"Q14":1,"Q5":1}</t>
  </si>
  <si>
    <t>김춘성</t>
  </si>
  <si>
    <t>{"조직체계":{"score":25,"risk":"정상"},"관계갈등":{"score":55.6,"risk":"고위험"},"직무자율":{"score":75,"risk":"고위험"},"직무불안정":{"score":16.7,"risk":"정상"},"물리환경":{"score":83.3,"risk":"정상"},"직무요구":{"score":41.7,"risk":"정상"},"보상부적절":{"score":66.7,"risk":"고위험"},"직장문화":{"score":66.7,"risk":"고위험"}}</t>
  </si>
  <si>
    <t>{"Q18":2,"Q13":2,"Q7":1,"Q8":4,"Q19":1,"Q15":2,"Q17":4,"Q9":3,"Q1":4,"Q3":2,"Q16":3,"Q14":1,"Q6":3,"Q21":3,"Q20":2,"Q11":1,"Q5":3,"Q23":3,"Q4":1,"Q22":1,"Q10":2,"Q12":4,"Q2":3,"Q24":3}</t>
  </si>
  <si>
    <t>{"물리환경":{"score":83.3,"risk":"정상"},"직무자율":{"score":16.7,"risk":"정상"},"조직체계":{"score":25,"risk":"정상"},"직무요구":{"score":41.7,"risk":"정상"},"직무불안정":{"score":16.7,"risk":"정상"},"보상부적절":{"score":44.4,"risk":"정상"},"관계갈등":{"score":66.7,"risk":"고위험"},"직장문화":{"score":50,"risk":"주의"}}</t>
  </si>
  <si>
    <t>{"Q2":4,"Q7":3,"Q19":1,"Q8":1,"Q3":1,"Q18":4,"Q15":1,"Q5":4,"Q16":3,"Q21":4,"Q6":1,"Q14":2,"Q17":2,"Q13":4,"Q12":1,"Q24":3,"Q11":1,"Q20":3,"Q9":3,"Q23":2,"Q10":4,"Q1":3,"Q4":3,"Q22":1}</t>
  </si>
  <si>
    <t>{"보상부적절":{"score":33.3,"risk":"정상"},"물리환경":{"score":33.3,"risk":"정상"},"관계갈등":{"score":55.6,"risk":"고위험"},"직무자율":{"score":25,"risk":"정상"},"직장문화":{"score":16.7,"risk":"정상"},"직무요구":{"score":50,"risk":"정상"},"직무불안정":{"score":33.3,"risk":"정상"},"조직체계":{"score":25,"risk":"정상"}}</t>
  </si>
  <si>
    <t>{"Q20":2,"Q1":1,"Q13":2,"Q7":4,"Q24":1,"Q3":2,"Q21":3,"Q4":4,"Q8":1,"Q14":3,"Q19":1,"Q12":1,"Q17":4,"Q11":4,"Q23":2,"Q10":3,"Q2":3,"Q15":1,"Q22":4,"Q6":3,"Q16":4,"Q18":1,"Q5":1,"Q9":2}</t>
  </si>
  <si>
    <t>김태균</t>
  </si>
  <si>
    <t>박동섭</t>
  </si>
  <si>
    <t>박민규</t>
  </si>
  <si>
    <t>박상호</t>
  </si>
  <si>
    <t>박영훈</t>
  </si>
  <si>
    <t>박은지</t>
  </si>
  <si>
    <t>박종하</t>
  </si>
  <si>
    <t>박진홍</t>
  </si>
  <si>
    <t>배영호</t>
  </si>
  <si>
    <t>손지혜</t>
  </si>
  <si>
    <t>우용찬</t>
  </si>
  <si>
    <t>유상목</t>
  </si>
  <si>
    <t>이강원</t>
  </si>
  <si>
    <t>이동영</t>
  </si>
  <si>
    <t>이정민</t>
  </si>
  <si>
    <t>정구민</t>
  </si>
  <si>
    <t>최성락</t>
  </si>
  <si>
    <t>최철규</t>
  </si>
  <si>
    <t>하태경</t>
  </si>
  <si>
    <t>허우승</t>
  </si>
  <si>
    <t>홍진호</t>
  </si>
  <si>
    <t>황인하</t>
  </si>
  <si>
    <t>류근수</t>
  </si>
  <si>
    <t>박지민</t>
  </si>
  <si>
    <t>여현석</t>
  </si>
  <si>
    <t>최정욱</t>
  </si>
  <si>
    <t>김기태</t>
  </si>
  <si>
    <t>정시완</t>
  </si>
  <si>
    <t>산공기술팀</t>
  </si>
  <si>
    <t>강태환</t>
  </si>
  <si>
    <t>김종희</t>
  </si>
  <si>
    <t>김지현</t>
  </si>
  <si>
    <t>김태명</t>
  </si>
  <si>
    <t>박병월</t>
  </si>
  <si>
    <t>박상완</t>
  </si>
  <si>
    <t>박재오</t>
  </si>
  <si>
    <t>박진한</t>
  </si>
  <si>
    <t>송진우</t>
  </si>
  <si>
    <t>심하용</t>
  </si>
  <si>
    <t>이승준</t>
  </si>
  <si>
    <t>이영민</t>
  </si>
  <si>
    <t>정성기</t>
  </si>
  <si>
    <t>제갈민</t>
  </si>
  <si>
    <t>조병규</t>
  </si>
  <si>
    <t>분류(Category)</t>
  </si>
  <si>
    <t>문항(Question)</t>
  </si>
  <si>
    <t>역채점 여부(Reverse)</t>
  </si>
  <si>
    <t>사용 여부(Active)</t>
  </si>
  <si>
    <t>Q1</t>
  </si>
  <si>
    <t>최정환</t>
  </si>
  <si>
    <t>물리환경</t>
  </si>
  <si>
    <t>근무환경(소음, 조명, 온도, 환기 등)이 불편하다.</t>
  </si>
  <si>
    <t>Q2</t>
  </si>
  <si>
    <t>근무환경 때문에 건강이 나빠지고 있다.</t>
  </si>
  <si>
    <t>Q3</t>
  </si>
  <si>
    <t>직무요구</t>
  </si>
  <si>
    <t>업무량이 현저하게 증가하였다.</t>
  </si>
  <si>
    <t>Q4</t>
  </si>
  <si>
    <t>일이 많아 항상 시간에 쫓기며 일한다.</t>
  </si>
  <si>
    <t>Q5</t>
  </si>
  <si>
    <t>업무를 수행하며, 여러 가지 일이 동시에 겹치기도 한다.</t>
  </si>
  <si>
    <t>Q6</t>
  </si>
  <si>
    <t>나는 업무를 수행할 때 고도의 집중력이 필요하다.</t>
  </si>
  <si>
    <t>Q7</t>
  </si>
  <si>
    <t>직무자율</t>
  </si>
  <si>
    <t>나의 업무수행 방식은 스스로 결정할 수 있다.</t>
  </si>
  <si>
    <t>편진우</t>
  </si>
  <si>
    <t>Q8</t>
  </si>
  <si>
    <t>나의 업무량을 나 스스로 조절할 수 없다.</t>
  </si>
  <si>
    <t>Q9</t>
  </si>
  <si>
    <t>내 업무에 대한 권한과 책임의 한계가 명확하다.</t>
  </si>
  <si>
    <t>Q10</t>
  </si>
  <si>
    <t>내 업무에 대해 내가 결정할 수 있는 권한이 주어져 있다.</t>
  </si>
  <si>
    <t>Q11</t>
  </si>
  <si>
    <t>관계갈등</t>
  </si>
  <si>
    <t>나의 상사는 업무를 완료하는 데 도움을 준다.</t>
  </si>
  <si>
    <t>Q12</t>
  </si>
  <si>
    <t>나의 동료는 업무를 완료하는 데 도움을 준다.</t>
  </si>
  <si>
    <t>Q13</t>
  </si>
  <si>
    <t>상사나 동료와 갈등이 있을 때, 이를 해결할 수 있다.</t>
  </si>
  <si>
    <t>산공영업팀</t>
  </si>
  <si>
    <t>Q14</t>
  </si>
  <si>
    <t>직무불안정</t>
  </si>
  <si>
    <t>내 직업이나 직무는 장래가 불안하다.</t>
  </si>
  <si>
    <t>김도환</t>
  </si>
  <si>
    <t>Q15</t>
  </si>
  <si>
    <t>앞으로 내 근무조건(예: 직위변경, 다른 곳으로의 발령 등)이 나빠질 것 같다.</t>
  </si>
  <si>
    <t>Q16</t>
  </si>
  <si>
    <t>조직체계</t>
  </si>
  <si>
    <t>나의 직무수행에 대해 동료나 상사는 공정하고 합당하게 평가한다.</t>
  </si>
  <si>
    <t>Q17</t>
  </si>
  <si>
    <t>회사는 어려울 때 일자리를 유지해준다.</t>
  </si>
  <si>
    <t>Q18</t>
  </si>
  <si>
    <t>부서 간 업무 협조가 원활하게 이루어진다.</t>
  </si>
  <si>
    <t>Q19</t>
  </si>
  <si>
    <t>내 업무에 대해 일관성 없는 지시를 받는다.</t>
  </si>
  <si>
    <t>Q20</t>
  </si>
  <si>
    <t>보상부적절</t>
  </si>
  <si>
    <t>나의 노력과 성과를 고려할 때 나는 제대로 존중받고 있다.</t>
  </si>
  <si>
    <t>김민</t>
  </si>
  <si>
    <t>Q21</t>
  </si>
  <si>
    <t>나의 능력이나 노력에 비해 현재의 수입이나 보상은 적절하다.</t>
  </si>
  <si>
    <t>Q22</t>
  </si>
  <si>
    <t>나의 직무수행 결과에 대하여 상사나 동료에게 적절한 인정을 받는다.</t>
  </si>
  <si>
    <t>Q23</t>
  </si>
  <si>
    <t>직장문화</t>
  </si>
  <si>
    <t>기분 나쁜 일이 있어도 꾹 참아야만 하는 직장 분위기이다.</t>
  </si>
  <si>
    <t>Q24</t>
  </si>
  <si>
    <t>우리 직장은 회식 자리가 잦거나 술을 잘 마셔야 인정받는 분위기이다.</t>
  </si>
  <si>
    <t>김진섭</t>
  </si>
  <si>
    <t>김태성</t>
  </si>
  <si>
    <t>박성철</t>
  </si>
  <si>
    <t>장지훈</t>
  </si>
  <si>
    <t>정근영</t>
  </si>
  <si>
    <t>구 분</t>
  </si>
  <si>
    <t>정성규</t>
  </si>
  <si>
    <t>대 상</t>
  </si>
  <si>
    <t>선임일</t>
  </si>
  <si>
    <t>선임자</t>
  </si>
  <si>
    <t>자격 종류</t>
  </si>
  <si>
    <t>이전 교육일</t>
  </si>
  <si>
    <t>기 한</t>
  </si>
  <si>
    <t>조원슬</t>
  </si>
  <si>
    <t>다음 교육일</t>
  </si>
  <si>
    <t>수 당</t>
  </si>
  <si>
    <t>비 고</t>
  </si>
  <si>
    <t>기한</t>
  </si>
  <si>
    <t>전장기술팀</t>
  </si>
  <si>
    <t>권영일</t>
  </si>
  <si>
    <t>관련법</t>
  </si>
  <si>
    <t>선임 자격</t>
  </si>
  <si>
    <t>성 명</t>
  </si>
  <si>
    <t>연락처</t>
  </si>
  <si>
    <t>이메일</t>
  </si>
  <si>
    <t>안전관리자</t>
  </si>
  <si>
    <t>산업안전기사(산업기사), 건설안전기사(산업기사)</t>
  </si>
  <si>
    <t>김수민</t>
  </si>
  <si>
    <t>2022.01.23</t>
  </si>
  <si>
    <t>010-6321-8321</t>
  </si>
  <si>
    <t>//seoms@hiairkorea.co.kr</t>
  </si>
  <si>
    <t>산업안전기사</t>
  </si>
  <si>
    <t>김창배</t>
  </si>
  <si>
    <t>박성진</t>
  </si>
  <si>
    <t>보건관리자</t>
  </si>
  <si>
    <t>배진우</t>
  </si>
  <si>
    <t>의사/간호사, 산업위생기사(산업기사), 대기환경기사(산업기사), 인간공학기사</t>
  </si>
  <si>
    <t>2016.07.31</t>
  </si>
  <si>
    <t>010-5105-2213</t>
  </si>
  <si>
    <t>//monn13@hiairkorea.co.kr</t>
  </si>
  <si>
    <t>성주연</t>
  </si>
  <si>
    <t>환경관리자</t>
  </si>
  <si>
    <t>손동혁</t>
  </si>
  <si>
    <t>대기환경보전법</t>
  </si>
  <si>
    <t>대기환경기사(산업기사), 수질환경기사(산업기사), 환경기능사</t>
  </si>
  <si>
    <t>2024.02.19</t>
  </si>
  <si>
    <t>이민혜</t>
  </si>
  <si>
    <t>010-4517-4885</t>
  </si>
  <si>
    <t>//mh102@hiairkorea.co.kr</t>
  </si>
  <si>
    <t>간호사</t>
  </si>
  <si>
    <t>안소연</t>
  </si>
  <si>
    <t>위험물안전관리자</t>
  </si>
  <si>
    <t>위험물안전관리법</t>
  </si>
  <si>
    <t>위험물기능장(산업기사, 기능사)</t>
  </si>
  <si>
    <t>2023.08.23</t>
  </si>
  <si>
    <t>이동규</t>
  </si>
  <si>
    <t>010-2822-5545</t>
  </si>
  <si>
    <t>//sds@hiairkorea.co.kr</t>
  </si>
  <si>
    <t>위험물산업기사</t>
  </si>
  <si>
    <t>이선민</t>
  </si>
  <si>
    <t>소방안전관리자(1급)</t>
  </si>
  <si>
    <t>화재예방법</t>
  </si>
  <si>
    <t>소방설비기사(산업기사), 교육 수료(10일)/자격 취득자</t>
  </si>
  <si>
    <t>2023.08.30</t>
  </si>
  <si>
    <t>010-4565-2747</t>
  </si>
  <si>
    <t>이성진</t>
  </si>
  <si>
    <t xml:space="preserve">//sspark@hiairkorea.co.kr	</t>
  </si>
  <si>
    <t>소방설비기사</t>
  </si>
  <si>
    <t>소방안전관리자(2급)</t>
  </si>
  <si>
    <t>위험물기능장(산업기사), 교육 수료(5일)/자격 취득자</t>
  </si>
  <si>
    <t>전성수</t>
  </si>
  <si>
    <t>소방안전관리자(보)</t>
  </si>
  <si>
    <t>2019.11.28</t>
  </si>
  <si>
    <t>010-3568-2502</t>
  </si>
  <si>
    <t xml:space="preserve">//sjmin@hiairkorea.co.kr	</t>
  </si>
  <si>
    <t>일반기계기사</t>
  </si>
  <si>
    <t>전종배</t>
  </si>
  <si>
    <t>건축, 기계, 화공, 위험물, 전기, 전자 및 안전관리 자격증</t>
  </si>
  <si>
    <t>2024.09.12</t>
  </si>
  <si>
    <t>010-7220-4616</t>
  </si>
  <si>
    <t xml:space="preserve">//parkbw@hiairkorea.co.kr	</t>
  </si>
  <si>
    <t>최민석</t>
  </si>
  <si>
    <t>전기안전관리자</t>
  </si>
  <si>
    <t>전기안전관리법</t>
  </si>
  <si>
    <t>전기기사(산업기사)</t>
  </si>
  <si>
    <t>편준혁</t>
  </si>
  <si>
    <t>생산부</t>
  </si>
  <si>
    <t>010-9346-8746</t>
  </si>
  <si>
    <t>//jh9889@hiairkorea.co.kr</t>
  </si>
  <si>
    <t>전기기사</t>
  </si>
  <si>
    <t>하정호</t>
  </si>
  <si>
    <t>냉동시설안전관리자</t>
  </si>
  <si>
    <t>액화석유가스법</t>
  </si>
  <si>
    <t>공조냉동기계기사(산업기사)</t>
  </si>
  <si>
    <t>가스안전관리자</t>
  </si>
  <si>
    <t>2023.01.02</t>
  </si>
  <si>
    <t>010-3173-5673</t>
  </si>
  <si>
    <t>//jrbae@hiairkorea.co.kr</t>
  </si>
  <si>
    <t>냉동공조기계기사</t>
  </si>
  <si>
    <t>홍기영</t>
  </si>
  <si>
    <t>냉동공조</t>
  </si>
  <si>
    <t>고압가스안전관리법</t>
  </si>
  <si>
    <t>가스기사(산업기사, 기능사)</t>
  </si>
  <si>
    <t>ARCHESFERDINANDJR</t>
  </si>
  <si>
    <t>2023.10.31</t>
  </si>
  <si>
    <t>010-6215-4144</t>
  </si>
  <si>
    <t>//hjpark@hiairkorea.co.kr</t>
  </si>
  <si>
    <t>DavidGabriellAbad</t>
  </si>
  <si>
    <t>LAOMCANTHONY</t>
  </si>
  <si>
    <t>액화/특고</t>
  </si>
  <si>
    <t>가스안전관리자(액화/특고)</t>
  </si>
  <si>
    <t>방사선안전관리자</t>
  </si>
  <si>
    <t>MonedaMarvin</t>
  </si>
  <si>
    <t>2020.11.11</t>
  </si>
  <si>
    <t>010-4556-5585</t>
  </si>
  <si>
    <t>//dhhwang@hiairkorea.co.kr</t>
  </si>
  <si>
    <t>교육 수료</t>
  </si>
  <si>
    <t>PM팀</t>
  </si>
  <si>
    <t>김성식</t>
  </si>
  <si>
    <t>미지급</t>
  </si>
  <si>
    <t>김승대</t>
  </si>
  <si>
    <t>김태호</t>
  </si>
  <si>
    <t>중복 제외</t>
  </si>
  <si>
    <t>오성현</t>
  </si>
  <si>
    <t>010-9328-1659</t>
  </si>
  <si>
    <t>//srseo@hiairkorea.co.kr</t>
  </si>
  <si>
    <t>유민규</t>
  </si>
  <si>
    <t>송현</t>
  </si>
  <si>
    <t>2013.01.23</t>
  </si>
  <si>
    <t>공조</t>
  </si>
  <si>
    <t>윤재완</t>
  </si>
  <si>
    <t>허정배</t>
  </si>
  <si>
    <t>010-4853-3697</t>
  </si>
  <si>
    <t>//jbh25@hiairkorea.co.kr</t>
  </si>
  <si>
    <t>관계사 제외</t>
  </si>
  <si>
    <t>정석우</t>
  </si>
  <si>
    <t>2013.04.03</t>
  </si>
  <si>
    <t>주성대</t>
  </si>
  <si>
    <t>팬</t>
  </si>
  <si>
    <t>최성지</t>
  </si>
  <si>
    <t>010-5390-0771</t>
  </si>
  <si>
    <t>dltkfka1.us@gmail.com</t>
  </si>
  <si>
    <t>갑을녹산병원</t>
  </si>
  <si>
    <t>이성우</t>
  </si>
  <si>
    <t>010-8628-6457</t>
  </si>
  <si>
    <t>//6457thdtn@naver.com</t>
  </si>
  <si>
    <t>대행 제외</t>
  </si>
  <si>
    <t>Fuelcell생산팀</t>
  </si>
  <si>
    <t>김정규</t>
  </si>
  <si>
    <t>010-3252-8130</t>
  </si>
  <si>
    <t>//kjk8246@hiairkorea.co.kr</t>
  </si>
  <si>
    <t>살롯</t>
  </si>
  <si>
    <t>dltkfka1@naver.com</t>
  </si>
  <si>
    <t>010-5587-5548</t>
  </si>
  <si>
    <t>//kdk89@hiairkorea.co.kr</t>
  </si>
  <si>
    <t>Fan생산팀</t>
  </si>
  <si>
    <t>정원일</t>
  </si>
  <si>
    <t>010-9811-8512</t>
  </si>
  <si>
    <t>//comet4460@hiairkorea.co.kr</t>
  </si>
  <si>
    <t>010-3863-8825</t>
  </si>
  <si>
    <t>//Chang8825@hiairkorea.co.kr</t>
  </si>
  <si>
    <t>010-4942-1936</t>
  </si>
  <si>
    <t>//skycslee@hiairkorea.co.kr</t>
  </si>
  <si>
    <t>010-9271-5038</t>
  </si>
  <si>
    <t>//ytw@hiairkorea.co.kr</t>
  </si>
  <si>
    <t>lhs@hiairkorea.co.kr</t>
  </si>
  <si>
    <t>가스기사</t>
  </si>
  <si>
    <t>품질관리팀</t>
  </si>
  <si>
    <t>김상준</t>
  </si>
  <si>
    <t>김주성</t>
  </si>
  <si>
    <t>백지만</t>
  </si>
  <si>
    <t>서주영</t>
  </si>
  <si>
    <t>퓨얼셀생산팀</t>
  </si>
  <si>
    <t>이종진</t>
  </si>
  <si>
    <t>주조</t>
  </si>
  <si>
    <t>이홍준</t>
  </si>
  <si>
    <t>임성열</t>
  </si>
  <si>
    <t>하이에어공조</t>
  </si>
  <si>
    <t>장경석</t>
  </si>
  <si>
    <t>정정환</t>
  </si>
  <si>
    <t>용역업체</t>
  </si>
  <si>
    <t>성락준</t>
  </si>
  <si>
    <t>최동진</t>
  </si>
  <si>
    <t>최재경</t>
  </si>
  <si>
    <t>010-5589-5692</t>
  </si>
  <si>
    <t>//seongsujeon@hiairkorea.co.kr</t>
  </si>
  <si>
    <t>허효진</t>
  </si>
  <si>
    <t>2022.04.11</t>
  </si>
  <si>
    <t>010-9397-3931</t>
  </si>
  <si>
    <t>//dchwang@hiairkorea.co.kr</t>
  </si>
  <si>
    <t>강경윤</t>
  </si>
  <si>
    <t>쌍용T&amp;S</t>
  </si>
  <si>
    <t>대행</t>
  </si>
  <si>
    <t>대불</t>
  </si>
  <si>
    <t>2021.11.01</t>
  </si>
  <si>
    <t>010-8616-0937</t>
  </si>
  <si>
    <t>//choi1101@hiairkorea.co.kr</t>
  </si>
  <si>
    <t>2022.12.05</t>
  </si>
  <si>
    <t>2021.11.05</t>
  </si>
  <si>
    <t>김해기숙사</t>
  </si>
  <si>
    <t>2023.06.26</t>
  </si>
  <si>
    <t>기술부문</t>
  </si>
  <si>
    <t>010-5664-6091</t>
  </si>
  <si>
    <t>//kb-kim@hiairkorea.co.kr</t>
  </si>
  <si>
    <t>김현아</t>
  </si>
  <si>
    <t>박세호</t>
  </si>
  <si>
    <t>배동혁</t>
  </si>
  <si>
    <t>양동철</t>
  </si>
  <si>
    <t>유현재</t>
  </si>
  <si>
    <t>이승민</t>
  </si>
  <si>
    <t>정해주</t>
  </si>
  <si>
    <t>한경인</t>
  </si>
  <si>
    <t>홍성범</t>
  </si>
  <si>
    <t>최용석</t>
  </si>
  <si>
    <t>수동</t>
  </si>
  <si>
    <t>[]</t>
  </si>
  <si>
    <t>dltkfka1@naver.com, dltkfka1.us@gmail.com</t>
  </si>
  <si>
    <t>이호성(소방안전관리자(2급)), 이호성(안전관리자)</t>
  </si>
  <si>
    <t>[{"name":"이호성","target":"소방안전관리자(2급)","loc":"창녕","diffDays":7,"nextDate":"2026-03-31"},{"name":"이호성","target":"안전관리자","loc":"창녕","diffDays":30,"nextDate":"2026-04-23"}]</t>
  </si>
  <si>
    <t>&lt;!DOCTYPE html&gt;&lt;html&gt;&lt;head&gt;&lt;meta charset="UTF-8"&gt;&lt;/head&gt;&lt;body style="margin:0;padding:0;background:#ffffff;font-family:'Malgun Gothic','Noto Sans KR',Arial,sans-serif;"&gt;&lt;table width="100%" cellpadding="0" cellspacing="0"&gt;&lt;tr&gt;&lt;td align="center"&gt;&lt;table width="600" cellpadding="0" cellspacing="0" style="background:#fff;"&gt;&lt;tr&gt;&lt;td style="background:#ffffff;padding:28px 36px 0;text-align:center;"&gt;&lt;img src="https://i.imgur.com/xpba9RE.png" alt="HI AIR KOREA" style="height:36px;display:inline-block;" /&gt;&lt;/td&gt;&lt;/tr&gt;&lt;tr&gt;&lt;td style="padding:20px 36px 0;"&gt;&lt;div style="text-align:center;font-size:22px;font-weight:900;color:#1e293b;letter-spacing:-0.5px;"&gt;법정의무교육 이수 안내&lt;/div&gt;&lt;div style="text-align:right;font-size:12px;color:#94a3b8;font-weight:600;margin-top:8px;"&gt;2026-03-25 기준&lt;/div&gt;&lt;div style="height:1px;background:linear-gradient(90deg,transparent,#e2e8f0,transparent);margin-top:12px;"&gt;&lt;/div&gt;&lt;/td&gt;&lt;/tr&gt;&lt;tr&gt;&lt;td style="padding:24px 36px 0;"&gt;&lt;p style="font-size:15px;color:#334155;font-weight:600;margin:0;line-height:1.8;"&gt;안녕하세요, &lt;span style="font-weight:800;color:#1e293b;"&gt;이호성&lt;/span&gt;님.&lt;/p&gt;&lt;p style="font-size:14px;color:#475569;margin:12px 0 0;line-height:1.7;"&gt;&lt;span style="font-weight:800;color:#2563eb;"&gt;소방안전관리자(2급)&lt;/span&gt; 교육 이수 일정이 다가와 안내드립니다.&lt;br&gt;원활한 교육 준비를 위해 아래 상세 정보를 확인해 주시기 바랍니다.&lt;/p&gt;&lt;/td&gt;&lt;/tr&gt;&lt;tr&gt;&lt;td style="padding:20px 36px 0;"&gt;&lt;table width="100%" cellpadding="0" cellspacing="0" style="border:1.5px solid #fed7aa;border-radius:12px;overflow:hidden;"&gt;&lt;tr&gt;&lt;td style="padding:0;"&gt;&lt;table width="100%" cellpadding="0" cellspacing="0"&gt;&lt;tr&gt;&lt;td style="padding:14px 20px 8px;font-size:13px;color:#94a3b8;font-weight:700;width:120px;"&gt;선임 대상&lt;/td&gt;&lt;td style="padding:14px 20px 8px;font-size:14px;color:#1e293b;font-weight:800;"&gt;소방안전관리자(2급)&lt;/td&gt;&lt;/tr&gt;&lt;tr&gt;&lt;td style="padding:8px 20px;font-size:13px;color:#94a3b8;font-weight:700;"&gt;사업장&lt;/td&gt;&lt;td style="padding:8px 20px;font-size:14px;color:#1e293b;font-weight:700;"&gt;창녕&lt;/td&gt;&lt;/tr&gt;&lt;tr&gt;&lt;td style="padding:8px 20px;font-size:13px;color:#94a3b8;font-weight:700;"&gt;최종 교육일자&lt;/td&gt;&lt;td style="padding:8px 20px;font-size:14px;color:#1e293b;font-weight:700;"&gt;2024-04-01&lt;/td&gt;&lt;/tr&gt;&lt;tr&gt;&lt;td style="padding:8px 20px;font-size:13px;color:#94a3b8;font-weight:700;"&gt;다음 교육기한&lt;/td&gt;&lt;td style="padding:8px 20px;font-size:14px;color:#1e293b;font-weight:700;"&gt;2026-03-31&lt;/td&gt;&lt;/tr&gt;&lt;tr&gt;&lt;td style="padding:8px 20px 16px;font-size:13px;color:#94a3b8;font-weight:700;"&gt;남은 일수&lt;/td&gt;&lt;td style="padding:8px 20px 16px;font-size:14px;font-weight:800;color:#f97316;"&gt;7일&lt;/td&gt;&lt;/tr&gt;&lt;/table&gt;&lt;/td&gt;&lt;/tr&gt;&lt;/table&gt;&lt;/td&gt;&lt;/tr&gt;&lt;tr&gt;&lt;td style="padding:24px 36px 0;"&gt;&lt;table width="100%" cellpadding="0" cellspacing="0" style="background:#fef9e7;border:1.5px solid #fde68a;border-radius:10px;"&gt;&lt;tr&gt;&lt;td style="padding:14px 18px;"&gt;&lt;div style="font-size:13px;font-weight:800;color:#92400e;margin-bottom:4px;"&gt;참여 안내&lt;/div&gt;&lt;div style="font-size:12px;color:#78350f;line-height:1.7;font-weight:600;"&gt;본 교육은 &lt;strong&gt;법정 의무 교육&lt;/strong&gt;이므로 반드시 이수하셔야 합니다.&lt;br&gt;해당 교육을 직접 신청하시어 기한 내 이수해 주시기 바랍니다.&lt;/div&gt;&lt;/td&gt;&lt;/tr&gt;&lt;/table&gt;&lt;/td&gt;&lt;/tr&gt;&lt;tr&gt;&lt;td style="padding:28px 36px;text-align:center;"&gt;&lt;div style="height:1px;background:linear-gradient(90deg,transparent,#e2e8f0,transparent);margin-bottom:20px;"&gt;&lt;/div&gt;&lt;div style="font-size:11px;color:#94a3b8;font-weight:600;letter-spacing:0.3px;"&gt;법정의무교육 알림 시스템 | Hiairkorea Safety &amp; Health Team&lt;/div&gt;&lt;div style="font-size:10px;color:#cbd5e1;margin-top:4px;"&gt;본 메일은 시스템에 의해 자동 발송된 메일입니다.&lt;/div&gt;&lt;/td&gt;&lt;/tr&gt;&lt;/table&gt;&lt;/td&gt;&lt;/tr&gt;&lt;/table&gt;&lt;/body&gt;&lt;/html&gt;</t>
  </si>
  <si>
    <t>자동</t>
  </si>
  <si>
    <t>[object Object]</t>
  </si>
  <si>
    <t>[{"name":"이호성","target":"소방안전관리자(2급)","loc":"창녕","diffDays":7,"nextDate":"2026-03-31","emailHtml":"&lt;!DOCTYPE html&gt;&lt;html&gt;&lt;head&gt;&lt;meta charset=\"UTF-8\"&gt;&lt;/head&gt;&lt;body style=\"margin:0;padding:0;background:#ffffff;font-family:'Malgun Gothic','Noto Sans KR',Arial,sans-serif;\"&gt;&lt;table width=\"100%\" cellpadding=\"0\" cellspacing=\"0\"&gt;&lt;tr&gt;&lt;td align=\"center\"&gt;&lt;table width=\"600\" cellpadding=\"0\" cellspacing=\"0\" style=\"background:#fff;\"&gt;&lt;tr&gt;&lt;td style=\"background:#ffffff;padding:28px 36px 0;text-align:center;\"&gt;&lt;img src=\"https://i.imgur.com/xpba9RE.png\" alt=\"HI AIR KOREA\" style=\"height:36px;display:inline-block;\" /&gt;&lt;/td&gt;&lt;/tr&gt;&lt;tr&gt;&lt;td style=\"padding:20px 36px 0;\"&gt;&lt;div style=\"text-align:center;font-size:22px;font-weight:900;color:#1e293b;letter-spacing:-0.5px;\"&gt;법정의무교육 이수 안내&lt;/div&gt;&lt;div style=\"text-align:right;font-size:12px;color:#94a3b8;font-weight:600;margin-top:8px;\"&gt;2026-03-25 기준&lt;/div&gt;&lt;div style=\"height:1px;background:linear-gradient(90deg,transparent,#e2e8f0,transparent);margin-top:12px;\"&gt;&lt;/div&gt;&lt;/td&gt;&lt;/tr&gt;&lt;tr&gt;&lt;td style=\"padding:24px 36px 0;\"&gt;&lt;p style=\"font-size:15px;color:#334155;font-weight:600;margin:0;line-height:1.8;\"&gt;안녕하세요, &lt;span style=\"font-weight:800;color:#1e293b;\"&gt;이호성&lt;/span&gt;님.&lt;/p&gt;&lt;p style=\"font-size:14px;color:#475569;margin:12px 0 0;line-height:1.7;\"&gt;&lt;span style=\"font-weight:800;color:#2563eb;\"&gt;소방안전관리자(2급)&lt;/span&gt; 교육 이수 일정이 다가와 안내드립니다.&lt;br&gt;원활한 교육 준비를 위해 아래 상세 정보를 확인해 주시기 바랍니다.&lt;/p&gt;&lt;/td&gt;&lt;/tr&gt;&lt;tr&gt;&lt;td style=\"padding:20px 36px 0;\"&gt;&lt;table width=\"100%\" cellpadding=\"0\" cellspacing=\"0\" style=\"border:1.5px solid #fed7aa;border-radius:12px;overflow:hidden;\"&gt;&lt;tr&gt;&lt;td style=\"padding:0;\"&gt;&lt;table width=\"100%\" cellpadding=\"0\" cellspacing=\"0\"&gt;&lt;tr&gt;&lt;td style=\"padding:14px 20px 8px;font-size:13px;color:#94a3b8;font-weight:700;width:120px;\"&gt;선임 대상&lt;/td&gt;&lt;td style=\"padding:14px 20px 8px;font-size:14px;color:#1e293b;font-weight:800;\"&gt;소방안전관리자(2급)&lt;/td&gt;&lt;/tr&gt;&lt;tr&gt;&lt;td style=\"padding:8px 20px;font-size:13px;color:#94a3b8;font-weight:700;\"&gt;사업장&lt;/td&gt;&lt;td style=\"padding:8px 20px;font-size:14px;color:#1e293b;font-weight:700;\"&gt;창녕&lt;/td&gt;&lt;/tr&gt;&lt;tr&gt;&lt;td style=\"padding:8px 20px;font-size:13px;color:#94a3b8;font-weight:700;\"&gt;최종 교육일자&lt;/td&gt;&lt;td style=\"padding:8px 20px;font-size:14px;color:#1e293b;font-weight:700;\"&gt;2024-04-01&lt;/td&gt;&lt;/tr&gt;&lt;tr&gt;&lt;td style=\"padding:8px 20px;font-size:13px;color:#94a3b8;font-weight:700;\"&gt;다음 교육기한&lt;/td&gt;&lt;td style=\"padding:8px 20px;font-size:14px;color:#1e293b;font-weight:700;\"&gt;2026-03-31&lt;/td&gt;&lt;/tr&gt;&lt;tr&gt;&lt;td style=\"padding:8px 20px 16px;font-size:13px;color:#94a3b8;font-weight:700;\"&gt;남은 일수&lt;/td&gt;&lt;td style=\"padding:8px 20px 16px;font-size:14px;font-weight:800;color:#f97316;\"&gt;7일&lt;/td&gt;&lt;/tr&gt;&lt;/table&gt;&lt;/td&gt;&lt;/tr&gt;&lt;/table&gt;&lt;/td&gt;&lt;/tr&gt;&lt;tr&gt;&lt;td style=\"padding:24px 36px 0;\"&gt;&lt;table width=\"100%\" cellpadding=\"0\" cellspacing=\"0\" style=\"background:#fef9e7;border:1.5px solid #fde68a;border-radius:10px;\"&gt;&lt;tr&gt;&lt;td style=\"padding:14px 18px;\"&gt;&lt;div style=\"font-size:13px;font-weight:800;color:#92400e;margin-bottom:4px;\"&gt;참여 안내&lt;/div&gt;&lt;div style=\"font-size:12px;color:#78350f;line-height:1.7;font-weight:600;\"&gt;본 교육은 &lt;strong&gt;법정 의무 교육&lt;/strong&gt;이므로 반드시 이수하셔야 합니다.&lt;br&gt;해당 교육을 직접 신청하시어 기한 내 이수해 주시기 바랍니다.&lt;/div&gt;&lt;/td&gt;&lt;/tr&gt;&lt;/table&gt;&lt;/td&gt;&lt;/tr&gt;&lt;tr&gt;&lt;td style=\"padding:28px 36px;text-align:center;\"&gt;&lt;div style=\"height:1px;background:linear-gradient(90deg,transparent,#e2e8f0,transparent);margin-bottom:20px;\"&gt;&lt;/div&gt;&lt;div style=\"font-size:11px;color:#94a3b8;font-weight:600;letter-spacing:0.3px;\"&gt;법정의무교육 알림 시스템 | Hiairkorea Safety &amp; Health Team&lt;/div&gt;&lt;div style=\"font-size:10px;color:#cbd5e1;margin-top:4px;\"&gt;본 메일은 시스템에 의해 자동 발송된 메일입니다.&lt;/div&gt;&lt;/td&gt;&lt;/tr&gt;&lt;/table&gt;&lt;/td&gt;&lt;/tr&gt;&lt;/table&gt;&lt;/body&gt;&lt;/html&gt;"},{"name":"이호성","target":"안전관리자","loc":"창녕","diffDays":30,"nextDate":"2026-04-23","emailHtml":"&lt;!DOCTYPE html&gt;&lt;html&gt;&lt;head&gt;&lt;meta charset=\"UTF-8\"&gt;&lt;/head&gt;&lt;body style=\"margin:0;padding:0;background:#ffffff;font-family:'Malgun Gothic','Noto Sans KR',Arial,sans-serif;\"&gt;&lt;table width=\"100%\" cellpadding=\"0\" cellspacing=\"0\"&gt;&lt;tr&gt;&lt;td align=\"center\"&gt;&lt;table width=\"600\" cellpadding=\"0\" cellspacing=\"0\" style=\"background:#fff;\"&gt;&lt;tr&gt;&lt;td style=\"background:#ffffff;padding:28px 36px 0;text-align:center;\"&gt;&lt;img src=\"https://i.imgur.com/xpba9RE.png\" alt=\"HI AIR KOREA\" style=\"height:36px;display:inline-block;\" /&gt;&lt;/td&gt;&lt;/tr&gt;&lt;tr&gt;&lt;td style=\"padding:20px 36px 0;\"&gt;&lt;div style=\"text-align:center;font-size:22px;font-weight:900;color:#1e293b;letter-spacing:-0.5px;\"&gt;법정의무교육 이수 안내&lt;/div&gt;&lt;div style=\"text-align:right;font-size:12px;color:#94a3b8;font-weight:600;margin-top:8px;\"&gt;2026-03-25 기준&lt;/div&gt;&lt;div style=\"height:1px;background:linear-gradient(90deg,transparent,#e2e8f0,transparent);margin-top:12px;\"&gt;&lt;/div&gt;&lt;/td&gt;&lt;/tr&gt;&lt;tr&gt;&lt;td style=\"padding:24px 36px 0;\"&gt;&lt;p style=\"font-size:15px;color:#334155;font-weight:600;margin:0;line-height:1.8;\"&gt;안녕하세요, &lt;span style=\"font-weight:800;color:#1e293b;\"&gt;이호성&lt;/span&gt;님.&lt;/p&gt;&lt;p style=\"font-size:14px;color:#475569;margin:12px 0 0;line-height:1.7;\"&gt;&lt;span style=\"font-weight:800;color:#2563eb;\"&gt;안전관리자&lt;/span&gt; 교육 이수 일정이 다가와 안내드립니다.&lt;br&gt;원활한 교육 준비를 위해 아래 상세 정보를 확인해 주시기 바랍니다.&lt;/p&gt;&lt;/td&gt;&lt;/tr&gt;&lt;tr&gt;&lt;td style=\"padding:20px 36px 0;\"&gt;&lt;table width=\"100%\" cellpadding=\"0\" cellspacing=\"0\" style=\"border:1.5px solid #bfdbfe;border-radius:12px;overflow:hidden;\"&gt;&lt;tr&gt;&lt;td style=\"padding:0;\"&gt;&lt;table width=\"100%\" cellpadding=\"0\" cellspacing=\"0\"&gt;&lt;tr&gt;&lt;td style=\"padding:14px 20px 8px;font-size:13px;color:#94a3b8;font-weight:700;width:120px;\"&gt;선임 대상&lt;/td&gt;&lt;td style=\"padding:14px 20px 8px;font-size:14px;color:#1e293b;font-weight:800;\"&gt;안전관리자&lt;/td&gt;&lt;/tr&gt;&lt;tr&gt;&lt;td style=\"padding:8px 20px;font-size:13px;color:#94a3b8;font-weight:700;\"&gt;사업장&lt;/td&gt;&lt;td style=\"padding:8px 20px;font-size:14px;color:#1e293b;font-weight:700;\"&gt;창녕&lt;/td&gt;&lt;/tr&gt;&lt;tr&gt;&lt;td style=\"padding:8px 20px;font-size:13px;color:#94a3b8;font-weight:700;\"&gt;최종 교육일자&lt;/td&gt;&lt;td style=\"padding:8px 20px;font-size:14px;color:#1e293b;font-weight:700;\"&gt;2024-04-24&lt;/td&gt;&lt;/tr&gt;&lt;tr&gt;&lt;td style=\"padding:8px 20px;font-size:13px;color:#94a3b8;font-weight:700;\"&gt;다음 교육기한&lt;/td&gt;&lt;td style=\"padding:8px 20px;font-size:14px;color:#1e293b;font-weight:700;\"&gt;2026-04-23&lt;/td&gt;&lt;/tr&gt;&lt;tr&gt;&lt;td style=\"padding:8px 20px 16px;font-size:13px;color:#94a3b8;font-weight:700;\"&gt;남은 일수&lt;/td&gt;&lt;td style=\"padding:8px 20px 16px;font-size:14px;font-weight:800;color:#2563eb;\"&gt;30일&lt;/td&gt;&lt;/tr&gt;&lt;/table&gt;&lt;/td&gt;&lt;/tr&gt;&lt;/table&gt;&lt;/td&gt;&lt;/tr&gt;&lt;tr&gt;&lt;td style=\"padding:24px 36px 0;\"&gt;&lt;table width=\"100%\" cellpadding=\"0\" cellspacing=\"0\" style=\"background:#fef9e7;border:1.5px solid #fde68a;border-radius:10px;\"&gt;&lt;tr&gt;&lt;td style=\"padding:14px 18px;\"&gt;&lt;div style=\"font-size:13px;font-weight:800;color:#92400e;margin-bottom:4px;\"&gt;참여 안내&lt;/div&gt;&lt;div style=\"font-size:12px;color:#78350f;line-height:1.7;font-weight:600;\"&gt;본 교육은 &lt;strong&gt;법정 의무 교육&lt;/strong&gt;이므로 반드시 이수하셔야 합니다.&lt;br&gt;해당 교육을 직접 신청하시어 기한 내 이수해 주시기 바랍니다.&lt;/div&gt;&lt;/td&gt;&lt;/tr&gt;&lt;/table&gt;&lt;/td&gt;&lt;/tr&gt;&lt;tr&gt;&lt;td style=\"padding:28px 36px;text-align:center;\"&gt;&lt;div style=\"height:1px;background:linear-gradient(90deg,transparent,#e2e8f0,transparent);margin-bottom:20px;\"&gt;&lt;/div&gt;&lt;div style=\"font-size:11px;color:#94a3b8;font-weight:600;letter-spacing:0.3px;\"&gt;법정의무교육 알림 시스템 | Hiairkorea Safety &amp; Health Team&lt;/div&gt;&lt;div style=\"font-size:10px;color:#cbd5e1;margin-top:4px;\"&gt;본 메일은 시스템에 의해 자동 발송된 메일입니다.&lt;/div&gt;&lt;/td&gt;&lt;/tr&gt;&lt;/table&gt;&lt;/td&gt;&lt;/tr&gt;&lt;/table&gt;&lt;/body&gt;&lt;/html&gt;"}]</t>
  </si>
  <si>
    <t>&lt;!DOCTYPE html&gt;&lt;html&gt;&lt;head&gt;&lt;meta charset="UTF-8"&gt;&lt;/head&gt;&lt;body style="margin:0;padding:0;background:#ffffff;font-family:'Malgun Gothic','Noto Sans KR',Arial,sans-serif;"&gt;&lt;table width="100%" cellpadding="0" cellspacing="0"&gt;&lt;tr&gt;&lt;td align="center"&gt;&lt;table width="640" cellpadding="0" cellspacing="0" style="background:#fff;"&gt;&lt;tr&gt;&lt;td style="padding:28px 36px 0;text-align:center;"&gt;&lt;img src="https://i.imgur.com/xpba9RE.png" alt="HI AIR KOREA" style="height:36px;" /&gt;&lt;/td&gt;&lt;/tr&gt;&lt;tr&gt;&lt;td style="padding:20px 36px 0;"&gt;&lt;div style="text-align:center;font-size:22px;font-weight:900;color:#1e293b;"&gt;법정의무교육 알림 리포트&lt;/div&gt;&lt;div style="text-align:right;font-size:12px;color:#94a3b8;font-weight:600;margin-top:8px;"&gt;2026-03-25 기준 | 자동 발송&lt;/div&gt;&lt;div style="height:1px;background:linear-gradient(90deg,transparent,#e2e8f0,transparent);margin-top:12px;"&gt;&lt;/div&gt;&lt;/td&gt;&lt;/tr&gt;&lt;tr&gt;&lt;td style="padding:20px 36px 0;"&gt;&lt;table width="100%" cellpadding="0" cellspacing="0"&gt;&lt;tr&gt;&lt;td width="50%" align="center" style="padding:12px 6px;"&gt;&lt;div style="background:#fff7ed;border:1.5px solid #fed7aa;border-radius:10px;padding:14px;"&gt;&lt;div style="font-size:24px;font-weight:900;color:#f97316;"&gt;1&lt;/div&gt;&lt;div style="font-size:11px;color:#6b7280;font-weight:600;margin-top:2px;"&gt;7일 이내&lt;/div&gt;&lt;/div&gt;&lt;/td&gt;&lt;td width="50%" align="center" style="padding:12px 6px;"&gt;&lt;div style="background:#eff6ff;border:1.5px solid #bfdbfe;border-radius:10px;padding:14px;"&gt;&lt;div style="font-size:24px;font-weight:900;color:#2563eb;"&gt;1&lt;/div&gt;&lt;div style="font-size:11px;color:#6b7280;font-weight:600;margin-top:2px;"&gt;30일 이내&lt;/div&gt;&lt;/div&gt;&lt;/td&gt;&lt;/tr&gt;&lt;/table&gt;&lt;/td&gt;&lt;/tr&gt;&lt;tr&gt;&lt;td style="padding:20px 36px 0;"&gt;&lt;table width="100%" cellpadding="0" cellspacing="0" style="border:1.5px solid #e2e8f0;border-radius:10px;overflow:hidden;"&gt;&lt;tr style="background:#f8fafc;"&gt;&lt;td style="padding:10px 14px;font-size:12px;font-weight:800;color:#64748b;border-bottom:1.5px solid #e2e8f0;"&gt;대상자&lt;/td&gt;&lt;td style="padding:10px 14px;font-size:12px;font-weight:800;color:#64748b;border-bottom:1.5px solid #e2e8f0;"&gt;선임 대상&lt;/td&gt;&lt;td style="padding:10px 14px;font-size:12px;font-weight:800;color:#64748b;border-bottom:1.5px solid #e2e8f0;"&gt;사업장&lt;/td&gt;&lt;td style="padding:10px 14px;font-size:12px;font-weight:800;color:#64748b;border-bottom:1.5px solid #e2e8f0;"&gt;교육기한&lt;/td&gt;&lt;td style="padding:10px 14px;font-size:12px;font-weight:800;color:#64748b;border-bottom:1.5px solid #e2e8f0;text-align:center;"&gt;남은 일수&lt;/td&gt;&lt;/tr&gt;&lt;tr style="background:#ffffff;"&gt;&lt;td style="padding:10px 14px;font-size:13px;font-weight:700;color:#1e293b;"&gt;이호성&lt;/td&gt;&lt;td style="padding:10px 14px;font-size:13px;color:#334155;font-weight:600;"&gt;소방안전관리자(2급)&lt;/td&gt;&lt;td style="padding:10px 14px;font-size:13px;color:#334155;"&gt;창녕&lt;/td&gt;&lt;td style="padding:10px 14px;font-size:13px;color:#334155;"&gt;2026-03-31&lt;/td&gt;&lt;td style="padding:10px 14px;font-size:13px;font-weight:800;color:#f97316;text-align:center;"&gt;7일&lt;/td&gt;&lt;/tr&gt;&lt;tr style="background:#fafbfc;"&gt;&lt;td style="padding:10px 14px;font-size:13px;font-weight:700;color:#1e293b;"&gt;이호성&lt;/td&gt;&lt;td style="padding:10px 14px;font-size:13px;color:#334155;font-weight:600;"&gt;안전관리자&lt;/td&gt;&lt;td style="padding:10px 14px;font-size:13px;color:#334155;"&gt;창녕&lt;/td&gt;&lt;td style="padding:10px 14px;font-size:13px;color:#334155;"&gt;2026-04-23&lt;/td&gt;&lt;td style="padding:10px 14px;font-size:13px;font-weight:800;color:#2563eb;text-align:center;"&gt;30일&lt;/td&gt;&lt;/tr&gt;&lt;/table&gt;&lt;/td&gt;&lt;/tr&gt;&lt;tr&gt;&lt;td style="padding:28px 36px;text-align:center;"&gt;&lt;div style="height:1px;background:linear-gradient(90deg,transparent,#e2e8f0,transparent);margin-bottom:20px;"&gt;&lt;/div&gt;&lt;div style="font-size:11px;color:#94a3b8;font-weight:600;"&gt;법정의무교육 알림 시스템 | Hiairkorea Safety &amp; Health Team&lt;/div&gt;&lt;div style="font-size:10px;color:#cbd5e1;margin-top:4px;"&gt;본 메일은 시스템에 의해 자동 발송된 메일입니다.&lt;/div&gt;&lt;/td&gt;&lt;/tr&gt;&lt;/table&gt;&lt;/td&gt;&lt;/tr&gt;&lt;/table&gt;&lt;/body&gt;&lt;/html&gt;</t>
  </si>
  <si>
    <t>이호성(가스안전관리자(액화/특고))</t>
  </si>
  <si>
    <t>[{"name":"이호성","target":"가스안전관리자(액화/특고)","loc":"창녕","diffDays":124,"nextDate":"2026-09-05","emailHtml":"&lt;!DOCTYPE html&gt;&lt;html&gt;&lt;head&gt;&lt;meta charset=\"UTF-8\"&gt;&lt;/head&gt;&lt;body style=\"margin:0;padding:0;background:#f8fafc;font-family:'Pretendard','Malgun Gothic','Noto Sans KR',Arial,sans-serif;\"&gt;&lt;table width=\"100%\" cellpadding=\"0\" cellspacing=\"0\" style=\"padding:20px 0;\"&gt;&lt;tr&gt;&lt;td align=\"center\"&gt;&lt;table width=\"640\" cellpadding=\"0\" cellspacing=\"0\" style=\"background:#ffffff;border-radius:16px;box-shadow:0 10px 30px rgba(0,0,0,0.04);overflow:hidden;\"&gt;&lt;tr&gt;&lt;td style=\"padding:25px 30px 0;\"&gt;&lt;div style=\"font-size:24px;font-weight:900;color:#0f172a;letter-spacing:-0.5px;\"&gt;법정의무교육 이수 안내&lt;/div&gt;&lt;div style=\"font-size:13px;color:#64748b;font-weight:600;margin-top:6px;\"&gt;2026-05-05 기준&lt;/div&gt;&lt;div style=\"height:1px;background:#f1f5f9;margin-top:20px;\"&gt;&lt;/div&gt;&lt;/td&gt;&lt;/tr&gt;&lt;tr&gt;&lt;td style=\"padding:20px 30px 0;\"&gt;&lt;p style=\"font-size:16px;color:#1e293b;font-weight:700;margin:0;line-height:1.6;\"&gt;안녕하세요, &lt;span style=\"color:#0f172a;font-weight:900;\"&gt;이호성&lt;/span&gt;님.&lt;/p&gt;&lt;p style=\"font-size:14px;color:#475569;margin:12px 0 0;line-height:1.7;\"&gt;&lt;strong style=\"color:#2563eb;font-weight:800;\"&gt;가스안전관리자(액화/특고)&lt;/strong&gt; 교육 이수 일정이 다가와 안내드립니다.&lt;br&gt;원활한 교육 준비를 위해 아래 상세 정보를 확인해 주시기 바랍니다.&lt;/p&gt;&lt;/td&gt;&lt;/tr&gt;&lt;tr&gt;&lt;td style=\"padding:15px 30px 0;\"&gt;&lt;table width=\"100%\" cellpadding=\"0\" cellspacing=\"0\" style=\"background:#f8fafc;border:1px solid #e2e8f0;border-radius:12px;\"&gt;&lt;tr&gt;&lt;td style=\"padding:20px 24px 10px;font-size:13px;color:#64748b;font-weight:700;width:120px;white-space:nowrap;\"&gt;선임 대상&lt;/td&gt;&lt;td style=\"padding:20px 24px 10px;font-size:14px;color:#0f172a;font-weight:800;\"&gt;가스안전관리자(액화/특고)&lt;/td&gt;&lt;/tr&gt;&lt;tr&gt;&lt;td style=\"padding:8px 24px;font-size:13px;color:#64748b;font-weight:700;white-space:nowrap;\"&gt;사업장&lt;/td&gt;&lt;td style=\"padding:8px 24px;font-size:14px;color:#1e293b;font-weight:700;\"&gt;창녕&lt;/td&gt;&lt;/tr&gt;&lt;tr&gt;&lt;td style=\"padding:8px 24px;font-size:13px;color:#64748b;font-weight:700;white-space:nowrap;\"&gt;최종 교육일자&lt;/td&gt;&lt;td style=\"padding:8px 24px;font-size:14px;color:#1e293b;font-weight:700;\"&gt;2023-09-06&lt;/td&gt;&lt;/tr&gt;&lt;tr&gt;&lt;td style=\"padding:8px 24px;font-size:13px;color:#64748b;font-weight:700;white-space:nowrap;\"&gt;다음 교육기한&lt;/td&gt;&lt;td style=\"padding:8px 24px;font-size:14px;color:#1e293b;font-weight:700;\"&gt;2026-09-05&lt;/td&gt;&lt;/tr&gt;&lt;tr&gt;&lt;td style=\"padding:8px 24px 20px;font-size:13px;color:#64748b;font-weight:700;white-space:nowrap;\"&gt;남은 일수&lt;/td&gt;&lt;td style=\"padding:8px 24px 20px;font-size:16px;font-weight:900;color:#64748b;\"&gt;124일&lt;/td&gt;&lt;/tr&gt;&lt;/table&gt;&lt;/td&gt;&lt;/tr&gt;&lt;tr&gt;&lt;td style=\"padding:20px 30px 0;\"&gt;&lt;div style=\"background:#f1f5f9;border-radius:10px;padding:15px 20px;border:1px solid #e2e8f0;\"&gt;&lt;div style=\"font-size:13px;font-weight:800;color:#334155;margin-bottom:6px;\"&gt;📌 필수 안내&lt;/div&gt;&lt;div style=\"font-size:13px;color:#475569;line-height:1.6;font-weight:600;\"&gt;본 교육은 &lt;strong&gt;법정 의무 교육&lt;/strong&gt;이므로 반드시 기한 내에 이수하셔야 합니다.&lt;br&gt;교육 일정을 확인하시고 차질 없이 진행해 주시기를 당부드립니다.&lt;/div&gt;&lt;/div&gt;&lt;/td&gt;&lt;/tr&gt;&lt;tr&gt;&lt;td style=\"padding:25px 30px;text-align:center;\"&gt;&lt;div style=\"height:1px;background:#f1f5f9;margin-bottom:25px;\"&gt;&lt;/div&gt;&lt;img src=\"https://i.imgur.com/xpba9RE.png\" alt=\"HI AIR KOREA\" style=\"height:28px;display:inline-block;opacity:0.8;margin-bottom:15px;\" /&gt;&lt;div style=\"font-size:11px;color:#64748b;font-weight:700;letter-spacing:0.3px;\"&gt;Hiairkorea Safety &amp; Health Team&lt;/div&gt;&lt;div style=\"font-size:11px;color:#94a3b8;margin-top:4px;\"&gt;본 메일은 법정의무교육 알림 시스템에 의해 발송되었습니다.&lt;/div&gt;&lt;/td&gt;&lt;/tr&gt;&lt;/table&gt;&lt;/td&gt;&lt;/tr&gt;&lt;/table&gt;&lt;/body&gt;&lt;/html&gt;"}]</t>
  </si>
  <si>
    <t>&lt;!DOCTYPE html&gt;&lt;html&gt;&lt;head&gt;&lt;meta charset="UTF-8"&gt;&lt;/head&gt;&lt;body style="margin:0;padding:0;background:#f8fafc;font-family:'Pretendard','Malgun Gothic','Noto Sans KR',Arial,sans-serif;"&gt;&lt;table width="100%" cellpadding="0" cellspacing="0" style="padding:20px 0;"&gt;&lt;tr&gt;&lt;td align="center"&gt;&lt;table width="640" cellpadding="0" cellspacing="0" style="background:#ffffff;border-radius:16px;box-shadow:0 10px 30px rgba(0,0,0,0.04);overflow:hidden;"&gt;&lt;tr&gt;&lt;td style="padding:25px 30px 0;"&gt;&lt;div style="font-size:24px;font-weight:900;color:#0f172a;letter-spacing:-0.5px;"&gt;법정의무교육 이수 안내&lt;/div&gt;&lt;div style="font-size:13px;color:#64748b;font-weight:600;margin-top:6px;"&gt;2026-05-05 기준&lt;/div&gt;&lt;div style="height:1px;background:#f1f5f9;margin-top:20px;"&gt;&lt;/div&gt;&lt;/td&gt;&lt;/tr&gt;&lt;tr&gt;&lt;td style="padding:20px 30px 0;"&gt;&lt;p style="font-size:16px;color:#1e293b;font-weight:700;margin:0;line-height:1.6;"&gt;안녕하세요, &lt;span style="color:#0f172a;font-weight:900;"&gt;이호성&lt;/span&gt;님.&lt;/p&gt;&lt;p style="font-size:14px;color:#475569;margin:12px 0 0;line-height:1.7;"&gt;&lt;strong style="color:#2563eb;font-weight:800;"&gt;가스안전관리자(액화/특고)&lt;/strong&gt; 교육 이수 일정이 다가와 안내드립니다.&lt;br&gt;원활한 교육 준비를 위해 아래 상세 정보를 확인해 주시기 바랍니다.&lt;/p&gt;&lt;/td&gt;&lt;/tr&gt;&lt;tr&gt;&lt;td style="padding:15px 30px 0;"&gt;&lt;table width="100%" cellpadding="0" cellspacing="0" style="background:#f8fafc;border:1px solid #e2e8f0;border-radius:12px;"&gt;&lt;tr&gt;&lt;td style="padding:20px 24px 10px;font-size:13px;color:#64748b;font-weight:700;width:120px;white-space:nowrap;"&gt;선임 대상&lt;/td&gt;&lt;td style="padding:20px 24px 10px;font-size:14px;color:#0f172a;font-weight:800;"&gt;가스안전관리자(액화/특고)&lt;/td&gt;&lt;/tr&gt;&lt;tr&gt;&lt;td style="padding:8px 24px;font-size:13px;color:#64748b;font-weight:700;white-space:nowrap;"&gt;사업장&lt;/td&gt;&lt;td style="padding:8px 24px;font-size:14px;color:#1e293b;font-weight:700;"&gt;창녕&lt;/td&gt;&lt;/tr&gt;&lt;tr&gt;&lt;td style="padding:8px 24px;font-size:13px;color:#64748b;font-weight:700;white-space:nowrap;"&gt;최종 교육일자&lt;/td&gt;&lt;td style="padding:8px 24px;font-size:14px;color:#1e293b;font-weight:700;"&gt;2023-09-06&lt;/td&gt;&lt;/tr&gt;&lt;tr&gt;&lt;td style="padding:8px 24px;font-size:13px;color:#64748b;font-weight:700;white-space:nowrap;"&gt;다음 교육기한&lt;/td&gt;&lt;td style="padding:8px 24px;font-size:14px;color:#1e293b;font-weight:700;"&gt;2026-09-05&lt;/td&gt;&lt;/tr&gt;&lt;tr&gt;&lt;td style="padding:8px 24px 20px;font-size:13px;color:#64748b;font-weight:700;white-space:nowrap;"&gt;남은 일수&lt;/td&gt;&lt;td style="padding:8px 24px 20px;font-size:16px;font-weight:900;color:#64748b;"&gt;124일&lt;/td&gt;&lt;/tr&gt;&lt;/table&gt;&lt;/td&gt;&lt;/tr&gt;&lt;tr&gt;&lt;td style="padding:20px 30px 0;"&gt;&lt;div style="background:#f1f5f9;border-radius:10px;padding:15px 20px;border:1px solid #e2e8f0;"&gt;&lt;div style="font-size:13px;font-weight:800;color:#334155;margin-bottom:6px;"&gt;📌 필수 안내&lt;/div&gt;&lt;div style="font-size:13px;color:#475569;line-height:1.6;font-weight:600;"&gt;본 교육은 &lt;strong&gt;법정 의무 교육&lt;/strong&gt;이므로 반드시 기한 내에 이수하셔야 합니다.&lt;br&gt;교육 일정을 확인하시고 차질 없이 진행해 주시기를 당부드립니다.&lt;/div&gt;&lt;/div&gt;&lt;/td&gt;&lt;/tr&gt;&lt;tr&gt;&lt;td style="padding:25px 30px;text-align:center;"&gt;&lt;div style="height:1px;background:#f1f5f9;margin-bottom:25px;"&gt;&lt;/div&gt;&lt;img src="https://i.imgur.com/xpba9RE.png" alt="HI AIR KOREA" style="height:28px;display:inline-block;opacity:0.8;margin-bottom:15px;" /&gt;&lt;div style="font-size:11px;color:#64748b;font-weight:700;letter-spacing:0.3px;"&gt;Hiairkorea Safety &amp; Health Team&lt;/div&gt;&lt;div style="font-size:11px;color:#94a3b8;margin-top:4px;"&gt;본 메일은 법정의무교육 알림 시스템에 의해 발송되었습니다.&lt;/div&gt;&lt;/td&gt;&lt;/tr&gt;&lt;/table&gt;&lt;/td&gt;&lt;/tr&gt;&lt;/table&gt;&lt;/body&gt;&lt;/html&gt;</t>
  </si>
  <si>
    <t>&lt;!DOCTYPE html&gt;&lt;html&gt;&lt;head&gt;&lt;meta charset="UTF-8"&gt;&lt;/head&gt;&lt;body style="margin:0;padding:0;background:#f8fafc;font-family:'Pretendard','Malgun Gothic','Noto Sans KR',Arial,sans-serif;"&gt;&lt;table width="100%" cellpadding="0" cellspacing="0" style="padding:20px 0;"&gt;&lt;tr&gt;&lt;td align="center"&gt;&lt;table width="680" cellpadding="0" cellspacing="0" style="background:#ffffff;border-radius:16px;box-shadow:0 10px 30px rgba(0,0,0,0.04);overflow:hidden;"&gt;&lt;tr&gt;&lt;td style="padding:25px 30px 0;"&gt;&lt;div style="font-size:24px;font-weight:900;color:#0f172a;letter-spacing:-0.5px;"&gt;법정의무교육 알림 리포트&lt;/div&gt;&lt;div style="font-size:13px;color:#64748b;font-weight:600;margin-top:6px;"&gt;2026-05-05 기준 &lt;span style="margin:0 6px;color:#cbd5e1;"&gt;|&lt;/span&gt; &lt;span style="color:#8b5cf6;"&gt;수동 발송&lt;/span&gt;&lt;/div&gt;&lt;div style="height:1px;background:#f1f5f9;margin-top:20px;"&gt;&lt;/div&gt;&lt;/td&gt;&lt;/tr&gt;&lt;tr&gt;&lt;td style="padding:20px 30px 10px;"&gt;&lt;table width="100%" cellpadding="0" cellspacing="0"&gt;&lt;tr&gt;&lt;td width="50%" align="center" style="padding-right:10px;"&gt;&lt;div style="background:#fff7ed;border-radius:12px;padding:20px;text-align:center;"&gt;&lt;div style="font-size:32px;font-weight:900;color:#ea580c;line-height:1;"&gt;0&lt;/div&gt;&lt;div style="font-size:12px;color:#9a3412;font-weight:700;margin-top:6px;letter-spacing:-0.3px;"&gt;7일 이내&lt;/div&gt;&lt;/div&gt;&lt;/td&gt;&lt;td width="50%" align="center" style="padding-left:10px;"&gt;&lt;div style="background:#eff6ff;border-radius:12px;padding:20px;text-align:center;"&gt;&lt;div style="font-size:32px;font-weight:900;color:#2563eb;line-height:1;"&gt;0&lt;span style="font-size:20px;color:#60a5fa;margin-left:4px;font-weight:800;"&gt;(+1)&lt;/span&gt;&lt;/div&gt;&lt;div style="font-size:12px;color:#1e40af;font-weight:700;margin-top:6px;letter-spacing:-0.3px;"&gt;30일 이내 &lt;span style="color:#93c5fd;font-weight:600;margin-left:2px;"&gt;(+여유)&lt;/span&gt;&lt;/div&gt;&lt;/div&gt;&lt;/td&gt;&lt;/tr&gt;&lt;/table&gt;&lt;/td&gt;&lt;/tr&gt;&lt;tr&gt;&lt;td style="padding:15px 30px 25px;"&gt;&lt;table width="100%" cellpadding="0" cellspacing="0" style="border-collapse:collapse;"&gt;&lt;tr&gt;&lt;td style="padding:12px 10px;font-size:12px;font-weight:800;color:#64748b;border-bottom:2px solid #e2e8f0;text-align:center;white-space:nowrap;"&gt;대상자&lt;/td&gt;&lt;td style="padding:12px 10px;font-size:12px;font-weight:800;color:#64748b;border-bottom:2px solid #e2e8f0;text-align:center;white-space:nowrap;"&gt;선임 대상&lt;/td&gt;&lt;td style="padding:12px 10px;font-size:12px;font-weight:800;color:#64748b;border-bottom:2px solid #e2e8f0;text-align:center;white-space:nowrap;"&gt;사업장&lt;/td&gt;&lt;td style="padding:12px 10px;font-size:12px;font-weight:800;color:#64748b;border-bottom:2px solid #e2e8f0;text-align:center;white-space:nowrap;"&gt;교육기한&lt;/td&gt;&lt;td style="padding:12px 10px;font-size:12px;font-weight:800;color:#64748b;border-bottom:2px solid #e2e8f0;text-align:center;white-space:nowrap;"&gt;남은 일수&lt;/td&gt;&lt;/tr&gt;&lt;tr&gt;&lt;td style="padding:14px 10px;font-size:13px;font-weight:700;color:#0f172a;border-bottom:1px solid #f1f5f9;text-align:center;white-space:nowrap;"&gt;이호성&lt;/td&gt;&lt;td style="padding:14px 10px;font-size:13px;color:#334155;font-weight:600;border-bottom:1px solid #f1f5f9;text-align:center;white-space:nowrap;"&gt;가스안전관리자(액화/특고)&lt;/td&gt;&lt;td style="padding:14px 10px;font-size:13px;color:#64748b;border-bottom:1px solid #f1f5f9;text-align:center;white-space:nowrap;"&gt;창녕&lt;/td&gt;&lt;td style="padding:14px 10px;font-size:13px;color:#64748b;border-bottom:1px solid #f1f5f9;text-align:center;white-space:nowrap;"&gt;2026-09-05&lt;/td&gt;&lt;td style="padding:14px 10px;font-size:13px;font-weight:600;color:#1e293b;text-align:center;border-bottom:1px solid #f1f5f9;white-space:nowrap;"&gt;124일&lt;/td&gt;&lt;/tr&gt;&lt;/table&gt;&lt;/td&gt;&lt;/tr&gt;&lt;tr&gt;&lt;td style="padding:0 30px 25px;text-align:center;"&gt;&lt;div style="height:1px;background:#f1f5f9;margin-bottom:25px;"&gt;&lt;/div&gt;&lt;img src="https://i.imgur.com/xpba9RE.png" alt="HI AIR KOREA" style="height:28px;display:inline-block;opacity:0.8;margin-bottom:15px;" /&gt;&lt;div style="font-size:11px;color:#64748b;font-weight:700;letter-spacing:0.3px;"&gt;Hiairkorea Safety &amp; Health Team&lt;/div&gt;&lt;div style="font-size:11px;color:#94a3b8;margin-top:4px;"&gt;본 메일은 법정의무교육 알림 시스템에 의해 발송되었습니다.&lt;/div&gt;&lt;/td&gt;&lt;/tr&gt;&lt;/table&gt;&lt;/td&gt;&lt;/tr&gt;&lt;/table&gt;&lt;/body&gt;&lt;/html&gt;</t>
  </si>
  <si>
    <t>시간</t>
  </si>
  <si>
    <t>사용자질문</t>
  </si>
  <si>
    <t>AI답변</t>
  </si>
  <si>
    <t>입력토큰</t>
  </si>
  <si>
    <t>출력토큰</t>
  </si>
  <si>
    <t>의견</t>
  </si>
  <si>
    <t>산업용 로봇 안전울타리 설치 법적 기준은?</t>
  </si>
  <si>
    <t>고압가스 용기 보관실의 법적 설치 기준은 「고압가스 안전관리법」 및 그 시행령에 규정되어 있습니다. 다음은 주요 설치 기준입니다.
1. 저장능력 기준: 고압가스를 저장하는 보관실은 법 제3조에 따라 일정량 이상의 고압가스를 저장할 수 있는 능력을 가져야 합니다. 예를 들어, 액화가스의 경우 5톤, 독성가스인 액화가스의 경우 1톤 이상의 저장능력이 필요합니다.
2. 위치 및 구조: 보관실은 국민의 생명과 재산을 보호하기 위해 안전한 위치에 설치되어야 하며, 방호벽 등의 안전시설이 갖추어져야 합니다. 방호벽은 높이 2미터 이상, 두께 12센티미터 이상의 철근콘크리트 구조로 되어야 합니다.
3. 환기 및 온도 관리: 보관실 내에는 적절한 환기시설이 필요하며, 고압가스의 특성에 따라 온도 관리가 이루어져야 합니다.
4. 안전장치: 가스검지기, 밸브 등의 안전장치가 설치되어야 하며, 정기적인 점검과 유지보수가 필요합니다.</t>
  </si>
  <si>
    <t>GOOD</t>
  </si>
  <si>
    <t>사다리 작업 수칙</t>
  </si>
  <si>
    <t>사다리 작업 시 안전사고를 예방하기 위해 다음과 같은 수칙을 준수해야 합니다:
1. 사다리 점검: 작업 전에 사다리의 상태를 점검하여 손상이나 결함이 없는지 확인합니다. 특히, 발판과 다리가 고정되어 있는지, 미끄럼 방지 처리가 되어 있는지 확인해야 합니다.
2. 안정된 바닥: 사다리를 설치할 장소는 평평하고 단단한 바닥이어야 하며, 미끄러운 표면이나 경사진 곳에서는 사용하지 않아야 합니다.
3. 올바른 각도: 사다리를 설치할 때는 지면과 사다리의 각도가 약 75도 정도가 되도록 하여 안정성을 확보합니다.
4. 두 사람 이상 사용 금지: 사다리 위에서 두 명 이상이 동시에 작업하는 것은 금지되어 있습니다. 한 번에 한 사람만 올라가야 합니다.
5. 작업 중 손잡이 사용: 사다리에 올라갈 때는 항상 손잡이를 잡고 올라가며, 작업 중에도 손잡이를 이용하여 균형을 유지합니다.
6. 작업물의 위치: 사다리 위에서 작업할 때는 몸을 사다리의 중앙에 두고, 몸을 앞으로 기울이지 않도록 합니다. 작업물은 사다리 아래에 두고, 손이 닿는 범위 내에서 작업합니다.
7. 사다리 이동 시 주의: 사다리를 이동할 때는 반드시 내려서 이동하며, 다른 사람이 사다리 아래에 있지 않은지 확인합니다.
8. 사다리 고정: 사다리를 사용할 때는 필요에 따라 고정 장치를 사용하여 미끄러짐을 방지합니다.</t>
  </si>
  <si>
    <t>BAD</t>
  </si>
  <si>
    <t>2인 1조 그거 있잖아</t>
  </si>
  <si>
    <t>죄송하지만, "2인 1조"와 관련된 내용은 현장 안전과 보건 관리 업무 범위를 벗어나는 사항이라 답변이 어렵습니다. 안전과 관련된 다른 질문이 있으시면 언제든지 말씀해 주세요.</t>
  </si>
  <si>
    <t>사다리 ㅈ가업 2인 1조 하는거</t>
  </si>
  <si>
    <t>사다리 작업 시 2인 1조로 작업하는 경우, 안전을 위해 다음과 같은 수칙을 준수해야 합니다:
1. 작업 전 안전 교육: 사다리 작업을 시작하기 전에 모든 작업자는 안전 교육을 받아야 하며, 사다리 사용법과 안전 수칙을 숙지해야 합니다.
2. 사다리 점검: 작업 전에 사다리를 점검하여 손상이나 결함이 없는지 확인합니다. 발판과 다리가 고정되어 있는지, 미끄럼 방지 처리가 되어 있는지 확인해야 합니다.
3. 안정된 바닥: 사다리를 설치할 장소는 평평하고 단단한 바닥이어야 하며, 미끄러운 표면이나 경사진 곳에서는 사용하지 않아야 합니다.
4. 사다리 고정: 사다리를 사용할 때는 필요에 따라 고정 장치를 사용하여 미끄러짐을 방지합니다. 한 사람이 사다리를 잡고 다른 사람이 작업하는 방식으로 안전성을 높입니다.
5. 작업 중 소통: 두 사람이 동시에 작업할 경우, 서로의 위치와 작업 내용을 충분히 소통하여 안전사고를 예방합니다. 한 사람이 사다리 위에서 작업하는 동안 다른 사람은 아래에서 안전을 확인하고 지원합니다.
6. 올바른 자세 유지: 사다리에 올라갈 때는 항상 손잡이를 잡고 올라가며, 작업 중에도 손잡이를 이용하여 균형을 유지합니다. 몸을 사다리의 중앙에 두고, 몸을 앞으로 기울이지 않도록 합니다.
7. 작업물의 위치: 사다리 위에서 작업할 때는 작업물은 사다리 아래에 두고, 손이 닿는 범위 내에서 작업합니다.
8. 사다리 이동 시 주의: 사다리를 이동할 때는 반드시 내려서 이동하며, 다른 사람이 사다리 아래에 있지 않은지 확인합니다.</t>
  </si>
  <si>
    <t>아니 높이 기준 있잖아</t>
  </si>
  <si>
    <t>사다리 작업 시 높이에 따른 안전 기준은 다음과 같습니다:
1. 높이 기준: 일반적으로 사다리를 사용할 때는 작업 높이가 2미터 이상일 경우, 안전사다리를 사용해야 하며, 이때는 반드시 2인 1조로 작업하는 것이 권장됩니다. 이는 높은 곳에서의 낙하 사고를 예방하기 위한 조치입니다.
2. 안전장치: 작업 높이가 2미터 이상인 경우, 사다리 외에도 안전난간이나 안전망 등의 추가적인 안전장치를 설치하여야 합니다. 이는 낙하 사고를 예방하는 데 중요한 역할을 합니다.
3. 사다리의 종류: 높이에 따라 적절한 사다리를 선택해야 합니다. 예를 들어, 경량 사다리보다는 중량을 견딜 수 있는 튼튼한 사다리를 사용하는 것이 좋습니다.
4. 작업 시 주의사항: 사다리 위에서 작업할 때는 항상 안전벨트를 착용하고, 작업 중에는 몸을 사다리의 중앙에 두어 균형을 유지해야 합니다. 또한, 작업 중에는 다른 사람이 사다리 아래에 있지 않도록 주의해야 합니다.</t>
  </si>
  <si>
    <t>사다리 작업 높이 기준</t>
  </si>
  <si>
    <t>사다리 작업 시 높이 기준은 다음과 같습니다:
1. 2미터 이상: 작업 높이가 2미터 이상일 경우, 사다리 작업을 할 때는 반드시 2인 1조로 작업해야 하며, 추가적인 안전장치를 설치하는 것이 권장됩니다. 이는 낙하 사고를 예방하기 위한 조치입니다.
2. 안전장치 설치: 2미터 이상의 높이에서 작업할 경우, 안전난간이나 안전망 등의 추가적인 안전장치를 설치하여야 합니다. 이는 근로자의 안전을 보장하는 데 필수적입니다.
3. 사다리 종류: 높이에 따라 적절한 사다리를 선택해야 하며, 경량 사다리보다는 중량을 견딜 수 있는 튼튼한 사다리를 사용하는 것이 좋습니다.</t>
  </si>
  <si>
    <t>상세 설명: 사다리 작업 높이 기준</t>
  </si>
  <si>
    <t>사다리 작업 높이 기준에 대한 상세한 정보는 다음과 같습니다:
1. 관련 법적 근거
- 법령명: 산업안전보건법
- 조항: 산업안전보건법 제32조(작업의 안전 및 보건에 관한 조치) 및 산업안전보건기준에 관한 규칙 제32조(사다리 및 작업대의 안전기준)
2. 구체적 기준 및 조건
- 작업 높이 기준: 
  - 사다리를 사용할 때, 작업 높이가 2미터 이상일 경우에는 반드시 2인 1조로 작업해야 합니다.
  - 이 경우, 사다리는 반드시 안전사다리로 사용해야 하며, 사다리의 각도는 75도 이상으로 유지해야 합니다.
- 안전장치: 
  - 2미터 이상의 높이에서 작업 시에는 안전난간, 안전망 등의 추가적인 안전장치를 설치해야 하며, 작업자는 반드시 안전벨트를 착용해야 합니다.
- 사다리 점검: 
  - 작업 전에 사다리의 상태를 점검하여 손상이나 결함이 없는지 확인해야 하며, 미끄럼 방지 처리가 되어 있는지 확인해야 합니다.
3. 위반 시 벌칙
- 벌칙: 
  - 산업안전보건법을 위반할 경우, 사업주는 1천만 원 이하의 벌금에 처해질 수 있으며, 근로자가 안전 수칙을 위반할 경우에는 징계나 경고 등의 조치를 받을 수 있습니다. 또한, 반복적인 위반 시에는 더 높은 벌금이나 법적 처벌이 따를 수 있습니다.
4. 실무 적용 요점
- 작업 전 교육: 사다리 작업을 수행하기 전에 모든 작업자는 안전 교육을 받아야 하며, 사다리 사용법과 안전 수칙을 숙지해야 합니다.
- 작업 중 소통: 두 사람이 동시에 작업할 경우, 서로의 위치와 작업 내용을 충분히 소통하여 안전사고를 예방해야 합니다.
- 안전한 작업 환경: 사다리를 설치할 장소는 평평하고 단단한 바닥이어야 하며, 미끄러운 표면이나 경사진 곳에서는 사용하지 않아야 합니다.
- 사다리 이동 시 주의: 사다리를 이동할 때는 반드시 내려서 이동하며, 다른 사람이 사다리 아래에 있지 않은지 확인해야 합니다.
이와 같은 기준과 조건을 준수함으로써 사다리 작업 시 발생할 수 있는 사고를 예방하고, 근로자의 안전을 보장할 수 있습니다.</t>
  </si>
  <si>
    <t>중대재해 발생 시 즉시 보고 절차는?</t>
  </si>
  <si>
    <t>특별관리물질은 발암성, 돌연변이성, 생식독성 등 인체에 특히 해로운 영향을 미칠 수 있는 물질들을 말합니다. 이러한 물질들은 작업자의 건강을 심각하게 위협할 수 있기 때문에 일반 화학물질보다 훨씬 엄격하게 관리해야 해요.
특별관리물질의 종류 및 관리법
1.  특별관리물질의 종류: 산업안전보건법 시행규칙 별표 12의2에서 정하고 있는 물질들이 특별관리물질에 해당합니다. 주로 벤젠, 염화비닐, 포름알데하이드, 석면 등 발암성, 생식독성, 돌연변이원성 물질들이 포함됩니다.
2.  취급량 최소화: 작업장 내 특별관리물질의 취급량을 최소한으로 유지해야 합니다. 필요한 양만 작업장에 반입하고, 나머지는 별도의 지정된 장소에 보관해야 합니다 (산업안전보건기준에 관한 규칙 제16조).
3.  밀폐 설비 및 국소 배기장치 설치: 특별관리물질이 외부로 노출되지 않도록 밀폐된 설비에서 취급하거나, 발생원을 효과적으로 제어할 수 있는 국소 배기장치를 반드시 설치해야 합니다.
4.  개인보호구 지급 및 착용: 밀폐 설비나 국소 배기장치만으로는 특별관리물질 노출을 완전히 막기 어려운 경우, 방진마스크, 방독마스크, 보호복, 보호장갑 등 적절한 개인보호구를 지급하고 작업자가 올바르게 착용하도록 지도해야 합니다.
5.  작업수칙 준수 및 교육: 특별관리물질 취급에 대한 명확한 작업수칙을 수립하고, 모든 작업자가 이를 숙지하고 준수하도록 정기적인 안전보건교육을 실시해야 합니다 (산업안전보건법 제29조).
6.  작업환경측정 및 특수건강진단: 특별관리물질 취급 작업장은 주기적으로 작업환경측정을 실시하여 노출 수준을 평가하고, 해당 작업자에게는 특수건강진단을 실시하여 건강 이상 유무를 확인해야 합니다 (산업안전보건법 제125조, 제130조).</t>
  </si>
  <si>
    <t>중대재해가 발생했을 경우, 즉시 보고 절차는 다음과 같습니다:
1. 사고 발생 즉시 보고: 중대재해가 발생하면, 현장 책임자는 즉시 상급자에게 보고해야 합니다. 이때, 사고의 발생 시간, 장소, 피해 상황 등을 구체적으로 전달해야 합니다.
2. 관계 기관에 보고: 사고 발생 후 24시간 이내에 고용노동부 및 관련 기관에 보고해야 합니다. 이때, 사고의 경위와 피해 상황, 응급조치 내용 등을 포함하여 보고합니다 (산업안전보건법 제63조).
3. 사고 조사 및 기록: 사고 발생 후, 사고 원인 조사 및 기록을 실시해야 합니다. 이를 통해 재발 방지 대책을 마련하고, 향후 유사 사고를 예방할 수 있도록 합니다.
4. 근로자 및 관계자 통보: 사고 발생 사실을 근로자 및 관계자에게 신속하게 통보하여, 사고에 대한 경각심을 높이고 안전한 작업 환경을 유지할 수 있도록 합니다.
5. 응급조치 및 치료: 부상자가 발생한 경우, 즉시 응급조치를 취하고 필요한 경우 의료기관으로 이송하여 치료를 받도록 해야 합니다.</t>
  </si>
  <si>
    <t>현장에서 안전화를 꼭 신고다녀야하는 이유는?</t>
  </si>
  <si>
    <t>지정수량은 위험물의 종류별로 위험성을 고려하여 대통령령이 정하는 수량으로, 제조소 등의 설치 허가 등에 있어서 최저 기준이 되는 수량을 의미합니다. 이는 위험물의 안전한 저장 및 취급을 위한 중요한 기준으로, 지정수량 이상의 위험물은 특별한 관리와 규제가 필요합니다. 이러한 규정은 위험물안전관리법 제2조에 명시되어 있습니다.</t>
  </si>
  <si>
    <t>비상구 및 피난 시설 폐쇄 시 법적 처벌은?</t>
  </si>
  <si>
    <t>프레스 및 전단기 방호장치 법적 종류
1. 기계적 방호장치: 프레스 및 전단기의 작동 부위에 설치하여 작업자가 기계에 접근하지 못하도록 하는 장치입니다. 예를 들어, 안전 커버나 방호막이 있습니다.
2. 전기적 방호장치: 기계의 작동을 전기적으로 차단하는 장치로, 비상 정지 스위치나 안전 릴레이가 포함됩니다.
3. 광전 방호장치: 레이저나 적외선 센서를 이용하여 작업자가 기계의 위험 구역에 접근할 경우 작동을 차단하는 장치입니다.
4. 기계적 안전장치: 기계의 작동이 시작되기 전에 작업자가 안전하게 작업할 수 있도록 하는 장치로, 예를 들어, 안전 스위치가 있습니다.
5. 안전 보호구: 작업자가 착용하는 개인 보호 장비로, 장갑, 보호 안경 등이 포함됩니다. 이는 직접적인 방호장치가 아니지만, 사고 발생 시 피해를 줄이는 역할을 합니다.</t>
  </si>
  <si>
    <t>나는 위험물을 질문한게 아니라 제조업 현장 즉 공장에 출입할 때 안전화를 왜 신어야하는지를 질문한거야 내가 질문한 내용에 대한 답변</t>
  </si>
  <si>
    <t>안전화를 신고 다녀야 하는 이유는 여러 가지가 있습니다. 첫째, 안전화는 발을 보호하는 중요한 장비로, 중량물이나 날카로운 물체가 떨어질 경우 발에 직접적인 피해를 줄 수 있습니다. 예를 들어, 제조업 현장에서 중량물이나 기계 부품이 떨어질 경우, 안전화가 없으면 발에 심각한 부상을 입을 수 있습니다.
둘째, 안전화는 미끄럼 방지 기능이 있어, 작업 중 바닥이 미끄러운 경우에도 안전하게 이동할 수 있도록 도와줍니다. 이는 낙상 사고를 예방하는 데 큰 역할을 합니다.
셋째, 안전화는 전기적 안전성을 고려한 설계가 되어 있어, 전기가 흐르는 환경에서도 안전하게 작업할 수 있도록 합니다. 이는 전기적 사고를 예방하는 데 중요한 요소입니다.
따라서, 안전화를 착용하는 것은 근로자의 안전을 확보하고 사고를 예방하기 위한 필수적인 조치입니다. 이러한 이유로 안전화 착용은 산업안전보건법 제38조에 명시된 개인 보호구 착용 의무와 관련이 있습니다. 안전한 작업 환경을 위해 반드시 안전화를 착용하시기 바랍니다.</t>
  </si>
  <si>
    <t>소화기 설치 간격 및 법적 보행거리 기준은?</t>
  </si>
  <si>
    <t>소화기 설치 간격 및 법적 보행거리 기준은 다음과 같습니다.
소화기 설치 간격
- 소화기의 설치 간격은 일반적으로 20m 이내에 설치해야 합니다. 이는 소화기가 필요할 때 신속하게 접근할 수 있도록 하기 위함입니다.
법적 보행거리 기준
- 보행거리 기준은 소화기까지의 거리가 30m를 초과하지 않도록 해야 합니다. 즉, 소화기와 피난구 사이의 거리가 30m를 넘지 않도록 설치해야 합니다.</t>
  </si>
  <si>
    <t>특수형태고용근로자 교육 받아야함?</t>
  </si>
  <si>
    <t>특수형태고용근로자에 대한 교육은 산업안전보건법에 따라 필요합니다. 이들은 일반 근로자와는 다른 형태로 고용되지만, 여전히 안전과 건강을 보호받아야 할 의무가 있습니다.
특수형태고용근로자는 작업 환경에서 발생할 수 있는 위험 요소에 대해 충분히 인지하고, 안전한 작업 방법을 숙지해야 합니다. 따라서, 이들을 대상으로 한 안전 교육은 필수적이며, 교육 내용에는 다음과 같은 사항이 포함되어야 합니다:
1. 작업 안전 수칙: 각 작업에 따른 안전 수칙과 절차를 이해하고 준수하도록 합니다.
2. 위험 요소 인식: 작업 중 발생할 수 있는 위험 요소를 인지하고, 이에 대한 예방 조치를 배웁니다.
3. 응급처치 및 사고 대처: 사고 발생 시 대처 방법과 응급처치 방법에 대한 교육이 필요합니다.</t>
  </si>
  <si>
    <t>안전모는 왜 써야해</t>
  </si>
  <si>
    <t>안전모는 근로자의 머리를 보호하기 위해 반드시 착용해야 하는 개인 보호구입니다. 안전모를 착용해야 하는 이유는 다음과 같습니다.
1. 낙하물로부터의 보호
작업 현장에서 자재나 도구가 떨어질 수 있는 위험이 존재합니다. 안전모는 이러한 낙하물로부터 머리를 보호하여 심각한 부상을 예방할 수 있습니다. 실제로 낙하물에 의한 사고는 산업 현장에서 빈번하게 발생하며, 안전모 착용으로 많은 사고를 예방할 수 있습니다.
2. 충격으로부터의 보호
작업 중에 발생할 수 있는 충격이나 타격으로부터 머리를 보호합니다. 안전모는 충격 흡수 기능이 있어, 머리에 가해지는 힘을 분산시켜 부상의 위험을 줄입니다.
3. 안전 규정 준수
산업안전보건법 및 관련 규정에서는 특정 작업 환경에서 안전모 착용을 의무화하고 있습니다. 이를 준수하지 않을 경우 법적 처벌을 받을 수 있으며, 근로자의 안전을 보장하기 위해 필수적입니다 (산업안전보건법 제37조).
4. 안전문화 확립
안전모를 착용함으로써 안전에 대한 경각심을 높이고, 동료 근로자들에게도 안전한 작업 환경을 조성하는 데 기여할 수 있습니다. 이는 전체적인 안전 문화를 강화하는 데 중요한 역할을 합니다.
따라서, 안전모는 근로자의 생명과 안전을 지키기 위해 필수적으로 착용해야 하는 장비입니다.</t>
  </si>
  <si>
    <t>상세 설명: 특수형태고용근로자 교육 받아야함?</t>
  </si>
  <si>
    <t>특수형태고용근로자에 대한 교육은 산업안전보건법에 따라 필수적입니다. 아래에 관련된 내용을 상세히 설명드리겠습니다.
1. 관련 법적 근거
- 법령명: 산업안전보건법
- 조항: 산업안전보건법 제31조(근로자의 안전 및 보건 교육)에서는 모든 근로자에게 안전 및 보건 교육을 실시해야 한다고 명시하고 있습니다. 이 조항은 특수형태고용근로자에게도 적용됩니다.
2. 구체적 기준 및 조건
- 교육 대상: 특수형태고용근로자는 일반 근로자와 마찬가지로 안전 및 보건 교육을 받아야 합니다.
- 교육 내용: 교육은 작업 환경, 위험 요소, 안전 수칙, 응급처치 방법 등을 포함해야 하며, 근로자가 수행하는 작업의 특성에 맞춘 맞춤형 교육이 필요합니다.
- 교육 주기: 교육은 신규 채용 시뿐만 아니라, 정기적으로 실시해야 하며, 작업 환경이나 작업 내용이 변경될 경우에도 재교육이 필요합니다.
3. 위반 시 벌칙
- 벌칙 조항: 산업안전보건법 제66조에 따르면, 교육을 실시하지 않거나 불성실하게 실시할 경우, 사업주는 과태료에 처해질 수 있습니다. 특히, 근로자의 안전과 건강을 위협하는 경우에는 더 엄격한 처벌이 따를 수 있습니다.
4. 실무 적용 요점
- 교육 계획 수립: 특수형태고용근로자에 대한 교육 계획을 수립하고, 교육 내용을 정기적으로 점검하여 업데이트해야 합니다.
- 교육 이력 관리: 교육 이력을 체계적으로 관리하여 근로자가 교육을 이수했음을 증명할 수 있는 자료를 확보해야 합니다.
- 피드백 및 개선: 교육 후 근로자들로부터 피드백을 받아 교육 내용을 지속적으로 개선하고, 실제 작업 환경에서의 안전성을 높이는 방향으로 나아가야 합니다.
이와 같은 내용을 바탕으로 특수형태고용근로자에 대한 안전 및 보건 교육을 철저히 이행하여, 근로자의 안전을 보장하는 것이 중요합니다.</t>
  </si>
  <si>
    <t>너 누구야</t>
  </si>
  <si>
    <t>안녕하세요! 👷 하이에어코리아 안전보건팀 AI 챗봇입니다.&lt;br&gt;산업안전보건법, 중대재해처벌법, 사내 안전 규정 등에 대해 무엇이든 물어보세요.</t>
  </si>
  <si>
    <t>하이에어코리아는 누구 누구 있어</t>
  </si>
  <si>
    <t>다른 대답을 하니</t>
  </si>
  <si>
    <t>죄송합니다. 저는 하이에어코리아 안전보건팀 AI 챗봇으로, 안전과 보건 관련 정보만 제공할 수 있습니다. 다른 질문이나 궁금한 사항이 있으시면 안전과 관련된 내용으로 말씀해 주시면 감사하겠습니다.</t>
  </si>
  <si>
    <t>특수형태 고용근로자 교육 받아야함?</t>
  </si>
  <si>
    <t>네, 특수형태 고용근로자도 산업안전보건법상 안전보건 교육 이수 대상에 포함됩니다. 이는 근로자가 본인의 업무와 관련된 위험 요소를 정확히 인지하고, 적절한 대응 방법을 숙지함으로써 산업재해를 예방하기 위한 필수 조치입니다.
사업주께서는 특수형태 근로자뿐만 아니라 모든 근로자의 안전 및 건강을 보호하기 위해 정기적이고 체계적인 교육 프로그램을 마련하셔야 하며, 교육 내용은 해당 업무 특성에 맞추어 위험 인지, 사고 예방 대책 등을 포함하도록 구성되어야 합니다. (산업안전보건법 제5조, 제6조)
안전보건 교육을 철저히 이행함으로써 과거 발생한 산업재해 사례들처럼 예기치 못한 사고를 미연에 방지할 수 있으므로, 항상 최신의 교육 기준과 내용을 반영하여 안전 교육을 진행하시기 바랍니다.</t>
  </si>
  <si>
    <t>상세 설명: 특수형태 고용근로자 교육 받아야함?</t>
  </si>
  <si>
    <t>죄송합니다. 요청하신 “특수형태 고용근로자 교육”과 관련된 법적 근거, 구체적 기준 및 조건, 위반 시 벌칙, 실무 적용 요점에 관한 내용은 하이에어코리아 사내 규정(구글 드라이브 문서)에서 찾을 수 없습니다.</t>
  </si>
  <si>
    <t>근로자의 안전 및 보건 교육 근거 찾아줘</t>
  </si>
  <si>
    <t>죄송합니다. 문의하신 근로자의 안전 및 보건 교육에 관한 구체적인 근거는 하이에어코리아 사내 규정(구글 드라이브 문서)에서 찾을 수 없습니다.</t>
  </si>
  <si>
    <t>안젅보호구 착용 의무?</t>
  </si>
  <si>
    <t>네, 근로자는 사업주가 지급한 개인보호구를 사업주의 지시에 따라 반드시 착용하여야 합니다. 이는 작업 중 발생할 수 있는 물리적·화학적 위험 등으로부터 근로자의 안전과 건강을 보호하기 위한 조치입니다. (산업안전보건기준에 관한 규칙 제6조③)
현장에서 예기치 못한 사고나 피해를 예방하기 위해 사업주와 근로자 모두 안전보호구의 착용에 대해 철저한 관리와 확인이 필요합니다.</t>
  </si>
  <si>
    <t>프레스 및 전단기 방호장치 법적 종류는?</t>
  </si>
  <si>
    <t>해당 내용은 사내 규정(구글 드라이브 문서) 및 제공된 데이터에서 찾을 수 없습니다.</t>
  </si>
  <si>
    <t>액화석유가스(LPG) 사용시설 정기검사 대상은?</t>
  </si>
  <si>
    <t>안전보호구 착용 기준은</t>
  </si>
  <si>
    <t>근로자 정기 안전보건교육 법정 시간은?</t>
  </si>
  <si>
    <t>고압가스 안전관리자 대리자 지정 법적 요건은?</t>
  </si>
  <si>
    <t>고압가스 안전관리자의 대리자 지정에 대한 법적 요건은 고압가스 안전관리법에 따라 규정되어 있습니다. 일반적으로 안전관리자는 고압가스의 안전한 제조, 저장, 판매 및 사용을 책임지는 역할을 하며, 대리자는 이러한 역할을 대신 수행할 수 있는 자로 지정됩니다.
대리자를 지정하기 위해서는 다음과 같은 요건이 필요합니다:
1. 자격 요건: 대리자는 고압가스 안전관리와 관련된 교육을 이수하고, 관련 법령에 따라 요구되는 자격을 갖추어야 합니다.
2. 지정 절차: 안전관리자는 대리자를 지정할 때, 해당 대리자의 자격 및 경험을 고려하여 적절한 인물을 선정해야 하며, 이를 문서로 기록해야 합니다.
3. 보고 의무: 대리자가 지정되면, 해당 사항을 관할 행정기관에 보고해야 하며, 대리자의 변경이 있을 경우에도 이를 즉시 보고해야 합니다.</t>
  </si>
  <si>
    <t>일반건강진단 실시 주기 법적 기준은?</t>
  </si>
  <si>
    <t>일반 건강진단의 실시 주기는 산업안전보건법에 따라 규정되어 있습니다. 일반적으로 근로자의 건강을 보호하고 조기 발견을 위해 정기적으로 건강진단을 실시해야 합니다.
법적 기준에 따르면, 일반 건강진단은 다음과 같은 주기로 실시해야 합니다:
1. 1년에 1회: 모든 근로자는 매년 1회 건강진단을 받아야 합니다. 이는 근로자의 건강 상태를 정기적으로 확인하고, 직업병 예방을 위한 중요한 조치입니다.
2. 특별한 경우: 특정 위험 요인에 노출되는 근로자나 특정 직종에 종사하는 경우, 추가적인 건강진단이 필요할 수 있으며, 이 경우에는 별도의 기준이 적용될 수 있습니다.
정확한 주기와 세부 사항은 관련 법령 및 규정에 따라 다를 수 있으므로, 구체적인 사항은 산업안전보건법 및 관련 지침을 참조하시기 바랍니다.</t>
  </si>
  <si>
    <t>상세 설명: 일반건강진단 실시 주기 법적 기준은?</t>
  </si>
  <si>
    <t>일반 건강진단의 실시 주기에 대한 법적 기준은 산업안전보건법에 명시되어 있습니다. 아래에 관련 내용을 상세히 설명드리겠습니다.
1. 관련 법적 근거:
   - 법령명: 산업안전보건법
   - 조항: 일반적으로 제43조(건강진단)에서 건강진단의 실시 주기와 관련된 내용을 규정하고 있습니다.
2. 구체적 기준 및 조건:
   - 모든 근로자는 매년 1회 일반 건강진단을 받아야 합니다.
   - 특정 직종이나 위험 요인에 노출되는 근로자는 추가적인 건강진단이 필요할 수 있으며, 이 경우에는 해당 직종에 맞는 건강진단을 실시해야 합니다.
   - 건강진단의 내용은 기본적인 신체검사, 혈액검사, 소변검사 등을 포함하며, 필요에 따라 추가적인 검사가 요구될 수 있습니다.
3. 위반 시 벌칙:
   - 건강진단을 실시하지 않거나, 법정 주기를 준수하지 않을 경우, 사업주는 산업안전보건법에 따라 행정처분을 받을 수 있으며, 과태료가 부과될 수 있습니다.
   - 또한, 근로자의 건강에 문제가 발생할 경우, 사업주는 법적 책임을 질 수 있습니다.
4. 실무 적용 요점:
   - 사업주는 근로자의 건강진단을 체계적으로 관리하고, 매년 정기적으로 건강진단을 실시해야 합니다.
   - 건강진단 결과는 기록으로 남겨야 하며, 근로자에게 결과를 통보하고 필요한 경우 후속 조치를 취해야 합니다.
   - 건강진단을 위한 외부 기관과의 계약 및 협력도 중요하며, 진단 결과에 따라 적절한 조치를 취하는 것이 필요합니다.
이와 같은 기준을 준수하여 근로자의 건강을 보호하고, 법적 의무를 이행하는 것이 중요합니다.</t>
  </si>
  <si>
    <t>!업데이트</t>
  </si>
  <si>
    <t xml:space="preserve">✅ [시스템] 최신 규정집 반영 완료!
📂 현재 학습된 파일 목록
📄 문서 (구글독스):
- 핵심정보
- 중대재해 처벌 등에 관한 법률
- 화재의 예방 및 안전관리에 관한 법률
- 위험물안전관리법
- 고압가스 안전관리법
- 액화석유가스의 안전관리 및 사업법
- 화학물질관리법
- 산업재해보상보험법
- 전기안전관리법
- 감염병의 예방 및 관리에 관한 법률
- 소음ㆍ진동관리법
- 승강기 안전관리법
- 원자력안전법
- 건설기계관리법
- 산업안전보건법
- 소방시설 설치 및 관리에 관한 법률
- 이동식사다리_안전작업지침
- 산업안전보건기준에 관한 규칙
</t>
  </si>
  <si>
    <t>고압가스 용기 보관실의 법적 설치 기준은?</t>
  </si>
  <si>
    <t>고압가스 용기 보관실의 법적 설치 기준은 「고압가스 안전관리법」 및 그 시행령에 규정되어 있습니다. 다음은 주요 설치 기준입니다:
1. 보관실의 구조: 고압가스 용기 보관실은 불연재료로 건축해야 하며, 화재 및 폭발을 방지하기 위한 방호벽을 설치해야 합니다. 방호벽은 높이 2미터 이상, 두께 12센티미터 이상의 철근콘크리트로 구성되어야 합니다.
2. 환기: 보관실은 충분한 환기가 이루어져야 하며, 가스 누출 시 신속하게 대처할 수 있는 구조로 설계되어야 합니다.
3. 온도 및 습도 관리: 고압가스 용기는 온도와 습도가 적절히 관리되어야 하며, 고온이나 고습의 환경에서 보관되어서는 안 됩니다.
4. 안전장치: 보관실에는 가스 검지기 및 긴급 차단 장치와 같은 안전장치를 설치해야 하며, 이를 통해 가스 누출이나 이상 상황을 신속하게 감지하고 대응할 수 있어야 합니다.
5. 접근 제한: 보관실은 일반인이 접근할 수 없는 장소에 설치해야 하며, 출입은 허가된 인원만 가능해야 합니다.
이와 같은 기준을 준수함으로써 고압가스 용기의 안전한 보관과 관리를 도모할 수 있습니다. 추가적인 세부 사항은 관련 법령 및 시행령을 참고하시기 바랍니다.</t>
  </si>
  <si>
    <t>소음 작업장 노출 기준 및 법적 관리 수칙은?</t>
  </si>
  <si>
    <t>소음 작업장에 대한 노출 기준 및 법적 관리 수칙은 「소음ㆍ진동관리법」 및 「산업안전보건법」에 규정되어 있습니다. 다음은 주요 내용입니다:
1. 소음 노출 기준
- 일일 노출 기준: 근로자가 소음에 노출되는 경우, 8시간 평균 소음 수준이 85dB(A)를 초과하지 않아야 합니다. 이 기준을 초과할 경우, 추가적인 보호 조치를 취해야 합니다.
- 단기 노출 기준: 15분 평균 소음 수준이 115dB(A)를 초과해서는 안 됩니다.
2. 법적 관리 수칙
- 소음 측정: 정기적으로 소음 측정을 실시하여 작업 환경의 소음 수준을 확인해야 합니다. 측정 결과는 기록으로 남겨야 하며, 필요 시 관계 기관에 보고해야 합니다.
- 소음 저감 조치: 소음이 기준치를 초과하는 경우, 소음 저감 조치를 취해야 합니다. 이는 방음벽 설치, 소음 방지 장비 사용, 작업 공정 변경 등을 포함합니다.
- 개인 보호구 착용: 소음 노출이 우려되는 작업 환경에서는 근로자에게 귀마개나 헤드폰과 같은 개인 보호구를 제공하고 착용을 의무화해야 합니다.
- 교육 및 훈련: 근로자에게 소음의 위험성과 예방 조치에 대한 교육을 실시하여, 안전한 작업 환경을 유지할 수 있도록 해야 합니다.
- 작업 환경 개선: 소음 발생 원인을 분석하고, 작업 환경을 개선하여 소음 발생을 최소화하는 노력을 지속해야 합니다.
이와 같은 기준과 수칙을 준수함으로써 근로자의 건강과 안전을 보호할 수 있습니다. 추가적인 세부 사항은 관련 법령 및 시행령을 참고하시기 바랍니다.</t>
  </si>
  <si>
    <t>상세 설명: 소음 작업장 노출 기준 및 법적 관리 수칙은?</t>
  </si>
  <si>
    <t>소음 작업장에 대한 노출 기준 및 법적 관리 수칙에 대해 다음과 같이 상세히 설명드리겠습니다.
1. 관련 법적 근거
- 법령명: 소음ㆍ진동관리법
  - 조항: 제4조(소음의 기준), 제5조(소음의 측정 및 관리)
- 법령명: 산업안전보건법
  - 조항: 제41조(소음에 대한 보호조치), 제42조(소음의 측정 및 관리)
2. 구체적 기준 및 조건
- 소음 노출 기준:
  - 일일 노출 기준: 근로자가 소음에 노출되는 경우, 8시간 평균 소음 수준이 85dB(A)를 초과하지 않아야 합니다.
  - 단기 노출 기준: 15분 평균 소음 수준이 115dB(A)를 초과해서는 안 됩니다.
- 소음 측정 및 관리:
  - 소음 측정은 정기적으로 실시해야 하며, 측정 결과는 기록으로 남겨야 합니다.
  - 소음이 기준치를 초과할 경우, 소음 저감 조치를 즉시 취해야 합니다.
- 개인 보호구:
  - 소음 노출이 우려되는 작업 환경에서는 근로자에게 귀마개나 헤드폰과 같은 개인 보호구를 제공하고 착용을 의무화해야 합니다.
3. 위반 시 벌칙
- 벌칙: 소음ㆍ진동관리법 제22조에 따라 소음 기준을 위반한 경우, 1년 이하의 징역형 또는 1천만 원 이하의 벌금에 처해질 수 있습니다.
- 산업안전보건법 제66조에 따르면, 법을 위반하여 근로자의 건강과 안전을 해치는 경우에도 동일한 처벌이 적용될 수 있습니다.
4. 실무 적용 요점
- 정기적인 소음 측정: 작업 환경에서 소음 수준을 정기적으로 측정하고, 결과를 기록하여 관리해야 합니다. 측정 주기는 최소 1년에 한 번 이상 권장됩니다.
- 소음 저감 조치: 소음이 기준치를 초과하는 경우, 방음벽 설치, 소음 방지 장비 사용, 작업 공정 변경 등의 저감 조치를 즉시 시행해야 합니다.
- 교육 및 훈련: 근로자에게 소음의 위험성과 예방 조치에 대한 교육을 정기적으로 실시하여, 안전한 작업 환경을 유지할 수 있도록 해야 합니다.
- 개인 보호구 착용: 소음 노출이 우려되는 작업 환경에서는 반드시 개인 보호구를 착용하도록 하고, 이를 관리하는 책임자를 지정하여 준수 여부를 확인해야 합니다.
이와 같은 기준과 수칙을 준수함으로써 근로자의 건강과 안전을 보호할 수 있습니다. 추가적인 세부 사항은 관련 법령 및 시행령을 참고하시기 바랍니다.</t>
  </si>
  <si>
    <t>화학물질 용기 경고표지 필수 기재 항목은?</t>
  </si>
  <si>
    <t>화학물질 용기 경고표지에 필수적으로 기재해야 하는 항목은 「화학물질관리법」 및 그 시행규칙에 따라 다음과 같습니다:
1. 화학물질의 명칭
- 해당 화학물질의 정확한 명칭을 기재해야 합니다.
2. 위험성 및 유해성 정보
- 화학물질의 위험성과 유해성을 나타내는 기호 및 경고 문구를 포함해야 합니다. 예를 들어, 인체에 유해한 물질, 폭발성 물질, 부식성 물질 등을 나타내는 기호가 해당됩니다.
3. 안전 조치 및 응급처치 방법
- 화학물질 취급 시 필요한 안전 조치와 응급처치 방법을 기재해야 합니다. 이는 근로자가 사고 발생 시 신속하게 대처할 수 있도록 돕기 위한 것입니다.
4. 제조자 또는 수입자의 정보
- 화학물질의 제조자 또는 수입자의 이름, 주소 및 연락처를 기재해야 합니다.
5. 사용 및 보관 방법
- 화학물질의 안전한 사용 및 보관 방법에 대한 정보를 포함해야 합니다.
6. 유통기한
- 화학물질의 유통기한을 명시하여, 사용자가 안전하게 사용할 수 있도록 해야 합니다.
이와 같은 항목들을 포함하여 화학물질 용기 경고표지를 작성함으로써, 근로자와 관련된 사람들의 안전을 확보할 수 있습니다. 추가적인 세부 사항은 관련 법령 및 시행규칙을 참고하시기 바랍니다.</t>
  </si>
  <si>
    <t>상세 설명: 화학물질 용기 경고표지 필수 기재 항목은?</t>
  </si>
  <si>
    <t>화학물질 용기 경고표지에 필수적으로 기재해야 하는 항목에 대한 상세한 내용은 다음과 같습니다:
1. 관련 법적 근거
- 법령명: 화학물질관리법
- 조항: 제20조(표시 및 경고) 및 화학물질관리법 시행규칙 제13조(화학물질의 표시)
2. 구체적 기준 및 조건
화학물질 용기 경고표지에는 다음과 같은 필수 기재 항목이 포함되어야 합니다:
- 화학물질의 명칭: 해당 화학물질의 정확한 명칭을 기재해야 합니다.
- 위험성 및 유해성 정보: 화학물질의 위험성과 유해성을 나타내는 기호 및 경고 문구를 포함해야 하며, 이는 국제적으로 통용되는 GHS(Globally Harmonized System) 기준에 따라 작성되어야 합니다.
- 안전 조치 및 응급처치 방법: 화학물질 취급 시 필요한 안전 조치와 응급처치 방법을 기재해야 하며, 이는 근로자가 사고 발생 시 신속하게 대처할 수 있도록 돕기 위한 것입니다.
- 제조자 또는 수입자의 정보: 화학물질의 제조자 또는 수입자의 이름, 주소 및 연락처를 기재해야 합니다.
- 사용 및 보관 방법: 화학물질의 안전한 사용 및 보관 방법에 대한 정보를 포함해야 하며, 이는 화학물질의 특성에 따라 달라질 수 있습니다.
- 유통기한: 화학물질의 유통기한을 명시하여, 사용자가 안전하게 사용할 수 있도록 해야 합니다.
3. 위반 시 벌칙
화학물질 용기 경고표지의 기재 항목을 준수하지 않을 경우, 다음과 같은 벌칙이 적용될 수 있습니다:
- 벌금: 법령에 따라 위반 사항에 대한 벌금이 부과될 수 있으며, 이는 위반의 정도에 따라 다르게 책정됩니다.
- 행정처분: 위반 사항에 따라 행정처분이 내려질 수 있으며, 이는 사업장에 대한 영업 정지 또는 허가 취소 등의 조치를 포함할 수 있습니다.
4. 실무 적용 요점
- 정기적인 점검: 화학물질 용기의 경고표지가 적절히 기재되어 있는지 정기적으로 점검하고, 필요한 경우 업데이트해야 합니다.
- 교육 및 훈련: 근로자에게 화학물질의 위험성과 경고표지의 중요성에 대한 교육을 실시하여, 안전한 작업 환경을 유지할 수 있도록 해야 합니다.
- 표준 운영 절차(SOP) 수립: 화학물질의 취급 및 보관에 대한 표준 운영 절차를 수립하고, 이를 근로자에게 철저히 교육하여 준수하도록 해야 합니다.
- 비상 대응 계획: 화학물질에 대한 비상 대응 계획을 마련하고, 근로자에게 이를 교육하여 사고 발생 시 신속하게 대응할 수 있도록 해야 합니다.
이와 같은 기준과 절차를 준수함으로써 화학물질의 안전한 관리와 근로자의 건강을 보호할 수 있습니다. 추가적인 세부 사항은 관련 법령 및 시행규칙을 참고하시기 바랍니다.</t>
  </si>
  <si>
    <t>근로자 대표 위험성평가 참여 법적 권한은?</t>
  </si>
  <si>
    <t>근로자 대표의 위험성 평가 참여에 대한 법적 권한은 「산업안전보건법」 및 그 시행령에 명시되어 있습니다. 주요 내용은 다음과 같습니다:
1. 근로자 대표의 권한
- 위험성 평가 참여: 근로자 대표는 사업장에서 실시하는 위험성 평가에 참여할 권한이 있습니다. 이는 근로자의 안전과 건강을 보호하기 위한 중요한 절차로, 근로자 대표는 평가 과정에서 근로자의 의견을 대변할 수 있습니다.
2. 정보 제공 요구
- 정보 요구 권한: 근로자 대표는 위험성 평가를 수행하기 위해 필요한 정보와 자료를 사업주에게 요구할 수 있는 권한이 있습니다. 이는 근로자가 안전하게 작업할 수 있는 환경을 조성하기 위한 필수적인 과정입니다.
3. 의견 제시
- 의견 제시 권한: 근로자 대표는 위험성 평가 결과에 대해 의견을 제시할 수 있으며, 사업주는 이러한 의견을 반영하여 안전 대책을 수립해야 합니다.
4. 교육 및 훈련
- 교육 참여: 근로자 대표는 위험성 평가와 관련된 교육 및 훈련에 참여할 권한이 있으며, 이를 통해 위험성 평가의 중요성과 절차에 대한 이해를 높일 수 있습니다.</t>
  </si>
  <si>
    <t>특수건강진단 대상 유해인자와 검진 주기는?</t>
  </si>
  <si>
    <t>특수건강진단 대상 유해인자는 산업안전보건법 제43조에 명시되어 있으며, 다음과 같은 유해인자들이 포함됩니다:
1. 화학물질: 유해화학물질에 노출되는 근로자
2. 물리적 요인: 소음, 진동, 방사선 등에 노출되는 근로자
3. 생물학적 요인: 감염성 질환에 노출되는 근로자
4. 기타: 특정 작업환경에서 발생할 수 있는 유해요인
검진 주기는 일반적으로 다음과 같습니다:
- 유해화학물질에 노출되는 경우: 1년에 1회
- 소음에 노출되는 경우: 1년에 1회
- 진동에 노출되는 경우: 1년에 1회
- 방사선에 노출되는 경우: 6개월에 1회
- 생물학적 요인에 노출되는 경우: 1년에 1회
각 유해인자에 따라 검진 주기는 다를 수 있으므로, 해당 작업환경과 유해인자에 대한 세부 사항을 고려하여 주기적으로 검진을 실시하는 것이 중요합니다. 이를 통해 근로자의 건강을 보호하고, 직업병을 예방할 수 있습니다.</t>
  </si>
  <si>
    <t>지게차 운전 시 법적 자격 및 면허 요건은?</t>
  </si>
  <si>
    <t>하이에어코리아 안전보건팀 AI 챗봇입니다.
지게차 운전 시 법적 자격 및 면허 요건에 대해 문의 주셨습니다. 지게차는 산업 현장에서 중량물 운반에 필수적인 장비이지만, 잘못 운전할 경우 큰 사고로 이어질 수 있어 관련 법규를 준수하는 것이 매우 중요합니다.
[산업안전보건기준에 관한 규칙] 제38조(사전조사 및 작업계획서의 작성 등) 제1항제2호에 따르면, 차량계 하역운반기계등을 사용하는 작업(화물자동차를 사용하는 도로상의 주행작업은 제외)의 경우 근로자의 위험을 방지하기 위하여 작업계획서를 작성하고 그 계획에 따라 작업을 하도록 규정하고 있습니다. 이는 지게차 운전 역시 사전에 철저한 계획과 준비가 필요함을 의미합니다.
지게차 운전과 관련하여 법적으로 요구되는 자격 및 면허 요건은 다음과 같습니다.
1.  건설기계조종사 면허:
    *   「건설기계관리법」에 따라 지게차는 건설기계로 분류됩니다. 따라서 지게차를 운전하기 위해서는 해당 법에서 정하는 건설기계조종사 면허를 취득해야 합니다.
    *   지게차의 종류(3톤 미만 또는 3톤 이상)에 따라 필요한 면허의 종류가 달라질 수 있습니다.
        *   3톤 미만 지게차: 소형 건설기계 조종 교육 이수 후 시·도지사에게 면허를 발급받을 수 있습니다. 별도의 국가기술자격증은 필요하지 않습니다.
        *   3톤 이상 지게차: 「국가기술자격법」에 따른 지게차운전기능사 자격증을 취득하고, 건설기계조종사 면허를 발급받아야 합니다.
2.  안전보건교육 이수:
    *   「산업안전보건법」에 따라 사업주는 근로자에게 안전보건교육을 실시해야 합니다. 지게차 운전 작업은 유해하거나 위험한 작업에 해당하므로, 해당 작업에 종사하는 근로자는 특별안전보건교육을 이수해야 합니다. 이 교육은 지게차의 구조, 작업 방법, 안전 수칙 등에 대한 내용을 포함합니다.
3.  작업계획서 준수 및 작업지휘자 지정:
    *   [산업안전보건기준에 관한 규칙] 제38조(사전조사 및 작업계획서의 작성 등)에 따라 지게차를 사용하는 작업 시에는 작업계획서를 작성하고 그 계획에 따라 작업을 해야 합니다.
    *   또한, 제39조(작업지휘자의 지정) 제1항에 따라 사업주는 작업지휘자를 지정하여 작업계획서에 따라 작업을 지휘하도록 해야 합니다. 다만, 작업장소에 다른 근로자가 접근할 수 없거나 한 대의 차량계 하역운반기계등을 운전하는 작업으로서 주위에 근로자가 없어 충돌 위험이 없는 경우에는 작업지휘자를 지정하지 않을 수 있습니다.
지게차 운전은 단순히 장비를 조작하는 것을 넘어, 주변 근로자의 안전까지 책임지는 중요한 작업입니다. 따라서 법적 요건을 충족하는 것은 물론, 항상 안전 수칙을 준수하고 작업 전후 점검을 철저히 하여 사고를 예방해야 합니다.
궁금한 점이 있으시면 언제든지 다시 문의해 주십시오.</t>
  </si>
  <si>
    <t>개인보호구 안전인증(KCs) 법적 확인 방법은?</t>
  </si>
  <si>
    <t>하이에어코리아 안전보건팀 AI 챗봇입니다.
개인보호구의 안전인증(KCs) 법적 확인 방법에 대해 문의 주셨습니다. 근로자의 안전을 위해 사용하는 보호구는 반드시 안전인증을 받은 제품을 사용해야 하며, 이는 법적으로 명시된 중요한 사항입니다.
[산업안전보건기준에 관한 규칙] 제36조(사용의 제한)에 따르면, 사업주는 「산업안전보건법」 제83조제1항에 따른 안전인증기준에 적합하지 않은 기계ㆍ기구ㆍ설비 및 방호장치ㆍ보호구 등을 사용해서는 아니 된다고 명시되어 있습니다. 이는 안전인증을 받지 않은 보호구를 사용하는 것이 법 위반임을 분명히 합니다.
개인보호구의 안전인증(KCs) 여부를 법적으로 확인하는 방법은 다음과 같습니다.
1.  제품의 KCs 마크 확인:
    *   안전인증을 받은 개인보호구에는 반드시 KCs(Korea Certification Safety) 마크가 부착되어 있습니다. 이 마크는 제품이 「산업안전보건법」에 따른 안전인증 기준을 충족했음을 의미합니다.
    *   KCs 마크는 일반적으로 제품 본체, 포장 또는 설명서에 표기되어 있습니다. 마크와 함께 인증번호, 모델명, 제조사 정보 등이 함께 기재되어 있는지 확인하십시오.
2.  안전인증서 또는 확인서 요청:
    *   보호구를 구매하거나 지급받을 때, 해당 제품의 안전인증서 또는 안전인증 확인서를 요청하여 직접 확인할 수 있습니다. 제조사나 공급업체는 이러한 서류를 제공할 의무가 있습니다.
    *   안전인증서에는 인증기관, 인증번호, 제품명, 모델명, 적용 기준, 유효기간 등 상세 정보가 기재되어 있습니다.
3.  안전인증 정보 시스템 조회:
    *   고용노동부 또는 한국산업안전보건공단에서 운영하는 안전인증 정보 시스템을 통해 해당 제품의 안전인증 여부를 직접 조회할 수 있습니다.
    *   이 시스템에서는 제품명, 모델명, 제조사명, 인증번호 등을 입력하여 안전인증 현황을 검색할 수 있습니다. 이는 가장 확실하고 객관적인 확인 방법입니다.
4.  [산업안전보건기준에 관한 규칙] 준수 여부 확인:
    *   [산업안전보건기준에 관한 규칙] 제32조(보호구의 지급 등)에서는 특정 작업에 필요한 보호구의 종류를 명시하고 있습니다. 예를 들어, 물체가 떨어지거나 날아올 위험이 있는 작업에는 안전모를, 높이 또는 깊이 2미터 이상의 추락 위험이 있는 장소에서는 안전대를 지급하고 착용하도록 규정하고 있습니다.
    *   안전인증을 받은 보호구라 할지라도, 해당 작업의 위험 요인에 적합한 종류의 보호구인지도 함께 확인해야 합니다.
안전인증을 받은 보호구를 착용하는 것은 근로자 스스로의 안전을 지키는 첫걸음입니다. 항상 작업 전 보호구의 상태를 점검하고, 올바르게 착용하며, 이상이 발견되면 즉시 교체하는 습관을 가지시길 바랍니다.
추가적으로 궁금한 사항이 있으시면 언제든지 문의해 주십시오.</t>
  </si>
  <si>
    <t>특수건강진단 결과 기록 법적 보존 기간은?</t>
  </si>
  <si>
    <t>⚠️ 오류 발생 (500): An internal error has occurred. Please retry or report in https://developers.generativeai.google/guide/troubleshooting</t>
  </si>
  <si>
    <t>하이에어코리아 안전보건팀 AI 챗봇입니다.
특수건강진단 결과 기록의 법적 보존 기간에 대해 문의 주셨습니다. 근로자의 건강을 보호하고 관리하는 것은 매우 중요하며, 건강진단 결과 기록은 직업병 예방 및 사후 관리를 위한 핵심 자료이므로 법적 보존 기간을 준수해야 합니다.
[산업안전보건법 시행규칙] 제219조(건강진단 결과의 기록ㆍ보존) 제1항에 따르면, 사업주는 건강진단 결과표를 5년간 보존해야 한다고 명시되어 있습니다. 다만, 다음 각 호의 어느 하나에 해당하는 건강진단 결과표는 30년간 보존해야 합니다.
1.  배치전건강진단, 특수건강진단, 수시건강진단 및 임시건강진단 결과표: 유해인자에 노출되는 근로자들의 건강 상태 변화를 장기적으로 추적하고, 직업병 발생 시 원인 규명 및 보상에 중요한 자료가 되기 때문입니다.
2.  제130조제1항에 따른 건강관리수첩을 발급받은 근로자의 건강진단 결과표: 건강관리수첩은 특정 유해인자에 노출되는 근로자에게 발급되며, 이들의 건강 이력을 체계적으로 관리하기 위함입니다.
3.  석면 관련 건강진단 결과표: 석면은 잠복기가 길고 치명적인 질병을 유발할 수 있어 특별히 장기 보존이 요구됩니다.
4.  수은, 납, 카드뮴, 6가크롬, 벤젠, 특정 유기화합물 등 고용노동부장관이 정하여 고시하는 물질에 대한 건강진단 결과표: 이러한 물질들은 인체에 미치는 영향이 크고 장기적인 관찰이 필요하므로 30년간 보존해야 합니다.
요약하자면, 특수건강진단 결과 기록은 원칙적으로 30년간 보존해야 합니다. 일반 건강진단 결과표는 5년간 보존하지만, 특수건강진단은 유해인자 노출과 관련된 만큼 장기적인 관리가 필수적입니다.
궁금한 점이 있으시면 언제든지 다시 문의해 주십시오.</t>
  </si>
  <si>
    <t>컨베이어 방호장치 설치에 관한 법적 기준은?</t>
  </si>
  <si>
    <t>하이에어코리아 안전보건팀 AI 챗봇입니다. 컨베이어 방호장치 설치에 관한 법적 기준에 대해 문의 주셨습니다.
컨베이어는 산업 현장에서 물건을 운반하는 데 필수적인 설비이지만, 부주의하게 사용하거나 방호조치가 미흡할 경우 근로자의 끼임, 협착 등 심각한 사고로 이어질 수 있습니다. 따라서 안전한 작업 환경을 조성하기 위해 관련 법적 기준을 준수하는 것이 매우 중요합니다.
현재 제공된 [학습 데이터]에는 컨베이어 방호장치에 대한 구체적인 법적 기준 조항이 명시되어 있지 않습니다. 하지만 산업안전보건법 및 관련 규칙에서는 기계·설비의 위험으로부터 근로자를 보호하기 위한 일반적인 방호조치 의무를 규정하고 있습니다.
일반적으로 컨베이어와 같은 기계·설비에 대한 방호장치 설치는 다음과 같은 원칙에 따라 이루어져야 합니다.
1.  위험원 제거 및 방호조치 우선: 사업주는 근로자가 유해·위험작업으로부터 보호받을 수 있도록 설비개선 등 필요한 조치를 우선적으로 해야 합니다. 만약 이러한 조치가 어려운 경우에만 제한적으로 해당 작업에 맞는 보호구를 사용하도록 해야 합니다. (산업안전보건기준에 관한 규칙 제31조)
2.  안전인증 및 안전검사 기준 준수: 법 제83조제1항에 따른 안전인증기준, 법 제89조제1항에 따른 자율안전기준 또는 법 제93조제1항에 따른 안전검사기준에 적합하지 않은 기계·기구·설비 및 방호장치·보호구 등을 사용해서는 안 됩니다. (산업안전보건기준에 관한 규칙 제36조) 이는 컨베이어에 설치되는 방호장치 또한 해당 기준을 충족해야 함을 의미합니다.
3.  관리감독자의 점검 및 조치: 관리감독자는 작업을 시작하기 전에 필요한 사항을 점검하고, 점검 결과 이상이 발견되면 즉시 수리하거나 그 밖에 필요한 조치를 해야 합니다. (산업안전보건기준에 관한 규칙 제35조) 컨베이어의 방호장치 또한 관리감독자의 점검 대상에 포함됩니다.
4.  작업계획서 작성 및 작업지휘자 지정: 중량물 취급 작업 등 특정 작업의 경우 근로자의 위험을 방지하기 위해 사전조사를 하고 작업계획서를 작성하며, 작업지휘자를 지정하여 작업계획서에 따라 작업을 지휘하도록 해야 합니다. (산업안전보건기준에 관한 규칙 제38조, 제39조) 컨베이어를 이용한 중량물 취급 작업 시에도 이러한 절차를 준수해야 합니다.
컨베이어 방호장치 설치 시 고려해야 할 실무적인 사항은 다음과 같습니다.
*   덮개 또는 울타리 설치: 컨베이어의 구동부, 회전부, 협착 위험이 있는 부분 등에는 근로자의 신체 일부가 닿지 않도록 덮개나 울타리를 설치해야 합니다.
*   비상정지장치: 비상 상황 발생 시 즉시 컨베이어의 작동을 멈출 수 있도록 비상정지장치를 작업자가 쉽게 접근할 수 있는 위치에 설치해야 합니다.
*   안전거리 확보: 컨베이어 주변에 근로자가 통행하거나 작업할 때 안전거리가 확보되도록 해야 합니다.
*   정비 시 LOTO(Lockout/Tagout): 컨베이어 정비 또는 청소 작업 시에는 반드시 전원을 차단하고 잠금장치 및 표지판을 부착하여 불시 가동으로 인한 사고를 예방해야 합니다.
*   안전표지 부착: 위험 구역임을 알리는 경고 표지, 비상정지장치 위치 표지 등을 명확하게 부착해야 합니다.
컨베이어 작업 시에는 항상 안전 수칙을 준수하고, 방호장치가 제대로 작동하는지 확인하는 것이 중요합니다. 궁금한 점이 있으시면 언제든지 다시 문의해 주십시오.</t>
  </si>
  <si>
    <t>안전보호구 꼭 써야해?</t>
  </si>
  <si>
    <t>하이에어코리아 안전보건팀 AI 챗봇입니다. 안전보호구 착용의 중요성에 대해 문의 주셨습니다.
네, 안전보호구는 작업 현장에서 근로자의 생명과 건강을 보호하기 위해 반드시 착용해야 합니다. 이는 단순히 불편함을 감수해야 하는 의무가 아니라, 예기치 못한 사고로부터 우리 자신을 지키는 가장 기본적인 방어 수단입니다.
왜 안전보호구를 꼭 착용해야 할까요?
1.  사고 발생 시 피해 최소화: 작업 현장에서는 언제든지 낙하물, 비산물, 유해 화학물질 노출, 소음, 감전 등 다양한 위험에 노출될 수 있습니다. 안전모는 머리 부상을, 안전화는 발 부상을, 보안경은 눈 부상을, 방진마스크는 호흡기 질환을 예방하는 등 각 보호구는 특정 위험으로부터 신체를 보호하여 사고 발생 시 피해를 최소화합니다. '설마 나에게 사고가 나겠어?'라는 생각은 매우 위험하며, 단 한 번의 사고로도 돌이킬 수 없는 결과를 초래할 수 있습니다.
2.  법적 의무 사항: 산업안전보건법 및 관련 규칙에서는 사업주가 근로자에게 적합한 보호구를 지급하고 착용하도록 관리해야 할 의무를 명시하고 있으며, 근로자 또한 지급된 보호구를 착용해야 할 의무가 있습니다.
    *   산업안전보건법 제38조(안전조치): 사업주는 유해하거나 위험한 기계·기구 및 그 밖의 설비로 인한 위험, 폭발성, 발화성 또는 인화성 물질에 의한 위험, 전기, 열, 그 밖의 에너지에 의한 위험 등으로 인하여 근로자에게 발생할 수 있는 산업재해를 예방하기 위하여 필요한 조치를 하여야 합니다. 이 조치에는 보호구 지급 및 착용 지시가 포함됩니다.
    *   산업안전보건법 제39조(보건조치): 사업주는 유해인자로부터 근로자의 건강을 보호하기 위하여 필요한 조치를 하여야 합니다. 여기에는 유해물질 취급 시 방진마스크, 방독마스크, 보호복 등 적절한 보호구 지급이 해당됩니다.
    *   산업안전보건기준에 관한 규칙 제32조(보호구의 지급 등): 사업주는 근로자에게 작업조건에 맞는 보호구를 지급하고 착용하도록 하여야 합니다. 또한, 보호구의 성능이 저하되지 않도록 관리하고, 근로자는 지급된 보호구를 착용하여야 합니다.
3.  직업병 예방: 특히 화학물질 취급, 용접, 분진 발생 작업 등에서는 장기적인 노출로 인해 직업병이 발생할 수 있습니다. 방진마스크, 방독마스크, 보호복 등은 이러한 유해인자로부터 근로자의 건강을 보호하여 직업병을 예방하는 데 결정적인 역할을 합니다. 예를 들어, 용접 흄이나 분진에 지속적으로 노출되면 폐 질환을 유발할 수 있으며, 이는 보호구 착용으로 충분히 예방할 수 있습니다.
4.  안전 문화 조성: 모든 근로자가 안전보호구를 올바르게 착용하는 것은 현장 전체의 안전 의식을 높이고, 서로의 안전을 지키는 중요한 안전 문화의 시작입니다.
저희 하이에어코리아 안전보건팀은 근로자 여러분의 안전을 최우선으로 생각합니다. 불편하더라도 작업 전 반드시 작업에 맞는 안전보호구를 착용하시고, 올바른 착용법을 숙지하여 주시기를 당부드립니다. 만약 보호구에 문제가 있거나 궁금한 점이 있다면 언제든지 안전보건팀에 문의해 주십시오.</t>
  </si>
  <si>
    <t>안전화 꼭 신어야해?</t>
  </si>
  <si>
    <t>하이에어코리아 안전보건팀 AI 챗봇입니다. 안전화 착용의 중요성에 대해 문의 주셨습니다.
네, 작업 현장에서는 안전화를 반드시 착용하셔야 합니다. 안전화는 발을 보호하는 가장 중요한 개인 보호구이며, 현장에서 발생할 수 있는 다양한 발 부상 위험으로부터 근로자 여러분을 지켜줍니다.
안전화를 꼭 신어야 하는 이유를 구체적으로 설명해 드리겠습니다.
1.  낙하물 및 충격으로부터 발 보호: 조선 기자재 제조업 현장에서는 무겁고 단단한 자재나 공구가 많이 사용됩니다. 이러한 물체가 발등으로 떨어지거나, 작업 중 발이 어딘가에 부딪히는 경우 심각한 골절이나 으스러짐과 같은 부상을 입을 수 있습니다. 안전화는 발가락 부분에 강철 토캡(Toe Cap)이 내장되어 있어 이러한 낙하물이나 충격으로부터 발을 효과적으로 보호해 줍니다.
2.  날카로운 물체로부터 발바닥 보호: 작업장 바닥에는 못, 철근 조각, 유리 파편 등 날카로운 물체가 떨어져 있을 수 있습니다. 일반 신발을 신었을 경우 이러한 물체에 찔려 발바닥에 상처를 입거나 파상풍과 같은 2차 감염의 위험이 있습니다. 안전화는 발바닥 부분에 강철판(Steel Plate)이 삽입되어 있어 날카로운 물체가 신발을 뚫고 들어오는 것을 방지해 줍니다.
3.  미끄럼 방지: 현장 바닥은 기름, 물, 먼지 등으로 인해 미끄러울 수 있습니다. 안전화는 미끄럼 방지 기능이 강화된 밑창으로 제작되어 있어 미끄러짐으로 인한 넘어짐 사고를 예방하고, 작업자의 안정적인 보행을 돕습니다. 넘어짐 사고는 단순한 타박상뿐만 아니라 골절, 뇌진탕 등 심각한 부상으로 이어질 수 있습니다.
4.  감전 위험 감소: 전기 작업이 이루어지는 현장에서는 감전의 위험이 항상 존재합니다. 일부 안전화는 절연 기능이 있어 전기 위험으로부터 발을 보호하는 데 도움을 줍니다.
5.  법적 의무 사항: 산업안전보건기준에 관한 규칙 제32조(보호구의 지급 등)에 따르면, 사업주는 "물체의 낙하ㆍ충격, 물체에의 끼임, 감전 또는 정전기의 대전(帶電)에 의한 위험이 있는 작업"을 하는 근로자에게 안전화를 지급하고 착용하도록 하여야 합니다. 또한, 근로자는 사업주로부터 지급받은 보호구를 착용해야 할 의무가 있습니다.
안전화는 작업자의 발을 보호하는 필수적인 보호구입니다. 잠시의 불편함 때문에 안전화를 착용하지 않았다가 큰 부상을 입는 안타까운 사례가 많습니다. 근로자 여러분의 안전을 위해 작업장에서는 항상 안전화를 올바르게 착용해 주시기를 다시 한번 강조 드립니다.
안전화 착용과 관련하여 궁금한 점이나 불편한 사항이 있으시면 언제든지 안전보건팀에 문의해 주십시오.</t>
  </si>
  <si>
    <t>산업재해보상에 대해서 알려줘</t>
  </si>
  <si>
    <t>하이에어코리아 안전보건팀 AI 챗봇입니다. 산업재해보상에 대해 문의 주셨습니다.
산업재해보상보험법은 근로자의 업무상 재해를 신속하고 공정하게 보상하고, 재해 근로자의 재활 및 사회 복귀를 촉진하며, 재해 예방과 근로자 복지 증진을 위한 사업을 시행하여 근로자 보호에 이바지하는 것을 목적으로 합니다(산업재해보상보험법 제1조).
즉, 근로자가 업무와 관련하여 다치거나 질병에 걸렸을 때, 또는 사망했을 때 국가가 보상해 주는 제도라고 이해하시면 됩니다.
1. 산업재해보상의 정의 및 적용 범위
*   업무상의 재해: 산업재해보상보험법 제5조제1호에 따르면, "업무상의 재해"란 업무상의 사유에 따른 근로자의 부상ㆍ질병ㆍ장해 또는 사망을 말합니다.
*   적용 범위: 산업재해보상보험법 제6조에 따라 이 법은 근로자를 사용하는 모든 사업 또는 사업장에 적용됩니다. 다만, 위험률ㆍ규모 및 장소 등을 고려하여 대통령령으로 정하는 일부 사업에 대해서는 적용하지 않을 수 있습니다.
2. 보험급여의 종류
산업재해보상보험법 제36조제1항에 따라 업무상 재해를 입은 근로자에게 지급되는 보험급여의 종류는 다음과 같습니다.
*   요양급여: 업무상 부상이나 질병으로 요양이 필요한 경우, 치료비, 약제비, 수술비 등 요양에 필요한 비용을 지급합니다.
*   휴업급여: 요양으로 인해 취업하지 못하는 기간 동안 임금을 받지 못하는 경우, 생활 보장을 위해 지급합니다.
*   장해급여: 업무상 재해로 인해 부상이나 질병이 치유되었으나 신체에 영구적인 장해가 남은 경우, 그 장해 정도에 따라 지급합니다.
*   간병급여: 요양급여를 받은 사람 중 치유 후에도 의학적으로 상시 또는 수시 간병이 필요한 경우 지급합니다.
*   유족급여: 근로자가 업무상 재해로 사망한 경우, 유족의 생활 보장을 위해 지급합니다.
*   상병보상연금: 요양급여를 받는 근로자가 요양 개시 후 2년이 지나도 치유되지 않고 중증요양상태에 해당하는 경우 지급합니다.
*   장례비: 근로자가 업무상 재해로 사망한 경우, 장례를 지낸 사람에게 지급합니다.
*   직업재활급여: 업무상 재해를 입은 근로자가 직업 복귀를 위해 직업훈련을 받거나 재활 보조기구를 필요로 하는 경우 지급합니다.
3. 보험급여의 청구 및 결정
*   보험급여는 수급권자(보험급여를 받을 수 있는 사람)의 청구에 따라 지급됩니다(산업재해보상보험법 제36조제2항).
*   근로복지공단은 보험급여의 신청 또는 청구를 받으면 보험급여의 지급 여부와 지급 내용 등을 결정하여 청구인에게 알려야 합니다(산업재해보상보험법 시행령 제21조제2항).
*   보험급여를 산정할 때 근로자의 평균임금을 기준으로 하며, 평균임금 산정 사유 발생일로부터 1년이 지난 후에는 매년 전체 근로자의 임금 평균액 증감률에 따라 평균임금을 증감합니다(산업재해보상보험법 제36조제3항).
4. 근로복지공단의 역할
산업재해보상보험 사업은 고용노동부장관이 관장하며, 근로복지공단이 고용노동부장관의 위탁을 받아 보험사업을 효율적으로 수행합니다(산업재해보상보험법 제2조, 제10조). 공단은 보험료 징수, 보험급여 결정 및 지급, 산업재해보상보험 시설 설치·운영, 재활 사업 등 다양한 업무를 수행합니다(산업재해보상보험법 제11조).
만약 업무 중 재해를 입으셨다면, 지체 없이 안전보건팀이나 근로복지공단에 문의하시어 적절한 절차에 따라 보상을 받으실 수 있도록 조치하시기 바랍니다. 근로자 여러분의 건강과 안전은 저희 하이에어코리아의 최우선 가치입니다.</t>
  </si>
  <si>
    <t>내가 사다리에서 떨어져서 다쳤으면 어ㄸ허게 해야해</t>
  </si>
  <si>
    <t>하이에어코리아 안전보건팀 AI 챗봇입니다. 사다리에서 떨어져 다치셨을 경우 어떻게 대처해야 하는지 문의 주셨습니다.
사다리 작업 중 추락하여 부상을 입으셨다면, 이는 업무상 재해에 해당할 수 있으므로 신속하고 적절한 조치가 매우 중요합니다. 다음 절차에 따라 대응해 주시기를 바랍니다.
1. 즉시 응급조치 및 의료기관 방문
*   안전 확보 및 응급처치: 가장 먼저 추가적인 위험이 없는 안전한 장소로 이동하시고, 주변 동료나 관리감독자에게 사고 발생 사실을 알리십시오. 출혈이 있거나 통증이 심한 경우, 주변 동료의 도움을 받아 지혈 등 가능한 응급처치를 받으셔야 합니다.
*   의료기관 방문: 부상 정도와 관계없이 즉시 병원(응급실 또는 가까운 정형외과 등)에 방문하여 의사의 진찰을 받고 치료를 받으셔야 합니다. 이때, "업무 중 사다리에서 추락하여 다쳤다"는 사실을 의료진에게 명확히 말씀하시고, 진료기록에 사고 경위가 상세히 기록되도록 요청하는 것이 중요합니다. 이는 추후 산업재해 신청 시 중요한 증거 자료가 됩니다.
2. 사고 발생 보고 및 기록
*   관리감독자 및 안전보건팀 보고: 사고 발생 즉시 소속 부서의 관리감독자에게 보고하고, 저희 하이에어코리아 안전보건팀(본사: 서민수, 이정환 / 창녕: 이호성)에도 즉시 알려주셔야 합니다. 사고 발생 경위, 부상 부위, 목격자 유무 등을 상세히 전달해 주십시오.
*   사고 경위 기록: 사고 발생 시간, 장소, 작업 내용, 사고 원인, 부상 정도 등 가능한 한 자세하게 사고 경위를 기록해 두시는 것이 좋습니다. 사진이나 동영상이 있다면 더욱 좋습니다.
3. 산업재해 신청 절차 진행
사다리 추락 사고는 업무상 재해에 해당하므로, 산업재해보상보험법에 따라 보상을 받으실 수 있습니다.
*   요양급여 신청: 병원에서 진단받은 후, 근로복지공단에 요양급여를 신청해야 합니다.
    *   신청 서류: 일반적으로 '요양급여 신청서'를 작성해야 하며, 이 서류에는 사고 경위, 진단명, 요양 기간 등이 포함됩니다.
    *   회사 협조: 회사(안전보건팀)에 사고 발생 사실을 알리고, 산업재해 신청에 필요한 서류 작성 및 제출에 협조를 요청하십시오. 회사는 근로자의 산재 신청에 적극 협조할 의무가 있습니다.
    *   의료기관 협조: 진단서, 소견서 등 의료기관에서 발급하는 서류도 필요합니다.
*   휴업급여 신청: 요양으로 인해 일을 할 수 없어 임금을 받지 못하는 기간이 발생하면, 휴업급여를 신청하여 생활 보장을 받으실 수 있습니다.
*   장해급여 등 기타 급여: 치료 후에도 신체에 장해가 남거나, 간병이 필요한 경우 등 상황에 따라 장해급여, 간병급여 등을 신청할 수 있습니다.
4. 사다리 작업 안전 수칙 준수의 중요성
이번 사고를 계기로 사다리 작업 시 안전 수칙 준수의 중요성을 다시 한번 강조 드립니다.
*   산업안전보건기준에 관한 규칙 제24조(사다리식 통로 등의 구조): 사다리식 통로는 견고한 구조여야 하며, 심한 손상이나 부식이 없어야 합니다. 또한, 사다리가 넘어지거나 미끄러지는 것을 방지하기 위한 조치를 해야 합니다.
*   산업안전보건기준에 관한 규칙 제42조(추락의 방지) 제4항: 이동식 사다리를 사용할 경우, 평탄하고 견고하며 미끄럽지 않은 바닥에 설치하고, 넘어짐 방지 조치(견고한 시설물에 고정, 아웃트리거 설치, 다른 근로자가 지지 등)를 해야 합니다. 또한, 최대사용하중을 초과하지 않아야 하며, 높이 3.5미터 이하의 장소에서만 작업하고, 최상부 발판 및 그 하단 디딤대에 올라서서 작업하지 않아야 합니다. 작업 높이가 2미터 이상인 경우에는 안전모와 안전대를 함께 착용해야 합니다.
사고 발생 시 당황하지 마시고 위 절차에 따라 침착하게 대응해 주십시오. 저희 안전보건팀은 근로자 여러분이 안전하게 치료받고 업무에 복귀하실 수 있도록 적극적으로 지원하겠습니다.</t>
  </si>
  <si>
    <t>날씨</t>
  </si>
  <si>
    <t>하이에어코리아 안전보건팀 AI 챗봇입니다. 날씨에 대해 문의 주셨습니다.
죄송합니다만, 저는 현장 안전과 보건 관리 업무 범위를 벗어나는 사항이라 답변이 어렵습니다. 날씨 정보는 인터넷 검색이나 기상청 웹사이트를 통해 확인해 주시기를 바랍니다.
안전한 작업 환경 조성에 대한 질문이 있으시면 언제든지 다시 문의해 주십시오.</t>
  </si>
  <si>
    <t>예시 질문</t>
  </si>
  <si>
    <t>안전관리자가 해야 하는 일은</t>
  </si>
  <si>
    <t>하이에어코리아 안전보건팀 AI 챗봇입니다. 안전관리자가 해야 하는 일에 대해 문의 주셨습니다.
안전관리자는 산업 현장에서 근로자의 안전과 건강을 보호하고, 산업재해를 예방하기 위한 핵심적인 역할을 수행합니다. 「산업안전보건법」 제17조 및 동법 시행령 제16조에 따라 안전관리자가 수행해야 할 주요 업무는 다음과 같습니다.
1. 산업안전보건위원회 또는 노사협의체에서 심의·의결한 업무와 안전보건관리규정 및 취업규칙에서 정한 업무
안전관리자는 회사의 안전보건 관련 최고 의사결정 기구인 산업안전보건위원회나 노사협의체에서 결정된 사항들을 현장에 적용하고, 안전보건관리규정 및 취업규칙에 명시된 안전 관련 업무를 충실히 이행해야 합니다.
2. 위험성평가에 관한 보좌 및 조언·지도
작업장의 유해·위험요인을 파악하고 평가하여 개선대책을 수립하는 위험성평가 과정에서 사업주와 관리감독자를 보좌하고, 근로자들에게 위험성에 대한 조언과 지도를 제공합니다. 이는 사고를 미연에 방지하는 가장 기본적인 활동입니다.
3. 안전인증대상기계등과 자율안전확인대상기계등의 안전에 관한 보좌 및 조언·지도
크레인, 프레스 등 안전인증을 받아야 하는 기계나 자율안전확인을 거쳐야 하는 기계·설비의 안전한 사용 및 관리에 대해 사업주를 보좌하고, 근로자들에게 올바른 사용법과 위험성에 대한 조언·지도를 합니다.
4. 방호장치, 보호구의 구입 시 적격품 선정에 관한 보좌 및 조언·지도
근로자의 안전을 위한 방호장치(예: 기계 덮개)와 보호구(예: 안전모, 안전화, 보안경)를 구매할 때, 법적 기준에 적합하고 성능이 우수한 제품을 선정하도록 보좌하고 조언합니다. 이는 근로자가 유해·위험으로부터 직접적으로 보호받는 중요한 수단입니다.
5. 물질안전보건자료(MSDS)의 게시 또는 비치에 관한 보좌 및 조언·지도
화학물질을 취급하는 작업장에서는 해당 물질의 유해성·위험성 정보, 취급 방법, 응급조치 요령 등이 담긴 물질안전보건자료(MSDS)를 근로자들이 쉽게 볼 수 있는 곳에 게시하거나 비치하도록 보좌하고 지도합니다. 이는 화학물질로 인한 급성 중독이나 직업병을 예방하는 데 필수적입니다.
6. 위험성평가를 위한 업무에 필요한 자료의 작성, 기록, 유지 관리
위험성평가를 체계적으로 수행하기 위해 필요한 자료(작업 공정, 사용 설비, 화학물질 정보 등)를 작성하고, 평가 결과를 기록하며, 관련 자료들을 지속적으로 관리합니다.
7. 산업재해 발생의 원인 조사 및 재발 방지 대책 수립에 관한 보좌 및 조언·지도
만약 산업재해가 발생하면, 사고의 원인을 철저히 조사하고 유사 사고가 다시 발생하지 않도록 재발 방지 대책을 수립하는 과정에서 사업주를 보좌하고 조언합니다.
8. 산업재해에 관한 통계의 기록 및 유지 관리
산업재해 발생 현황에 대한 통계를 정확하게 기록하고 관리하여, 재해 발생 추이를 분석하고 예방 활동의 효과를 평가하는 데 활용합니다.
9. 법 또는 법에 따른 명령으로 정한 안전에 관한 사항 이행에 관한 보좌 및 조언·지도
산업안전보건법 및 관련 법령에서 정하고 있는 모든 안전 관련 사항들이 현장에서 제대로 이행될 수 있도록 사업주를 보좌하고, 근로자들에게 필요한 조언과 지도를 제공합니다.
10. 그 밖에 산업재해 예방을 위한 업무로서 고용노동부장관이 정하는 사항
위에서 언급된 업무 외에도 고용노동부장관이 산업재해 예방을 위해 필요하다고 정하는 다양한 업무를 수행합니다.
저희 하이에어코리아의 안전관리자(본사: 서민수, 이정환 / 창녕: 이호성)들은 이러한 법적 의무를 바탕으로 현장의 안전을 위해 최선을 다하고 있습니다. 근로자 여러분께서도 안전관리자의 지시와 조언에 적극 협조해 주시기를 부탁드립니다.</t>
  </si>
  <si>
    <t>위험성평가 실시 시기와 절차는?</t>
  </si>
  <si>
    <t>위험성평가 실시 주기와 법적 절차는?</t>
  </si>
  <si>
    <t>작업중지권 행사 요건과 절차는?</t>
  </si>
  <si>
    <t>LOTO(잠금장치) 절차를 알려줘</t>
  </si>
  <si>
    <t>근골격계 부담작업 유해요인조사 법적 주기는?</t>
  </si>
  <si>
    <t>관리감독자의 법적 직무와 업무 범위는?</t>
  </si>
  <si>
    <t>하이에어코리아 안전보건팀 AI 챗봇입니다. 근골격계 부담작업 유해요인조사의 법적 주기에 대해 문의 주셨습니다.
「산업안전보건기준에 관한 규칙」 제663조(유해요인조사)에 따르면, 근골격계 부담작업에 대한 유해요인조사는 최초 작업 시작 후 1년 이내에 실시하고, 이후에는 매 3년마다 정기적으로 실시해야 합니다.
하지만 다음과 같은 경우에는 수시 유해요인조사를 실시해야 합니다.
1.  근골격계 질환자가 발생한 경우: 근골격계 질환으로 산업재해를 신청하거나 업무와 관련하여 질병이 발생한 경우.
2.  근골격계 부담작업에 해당하는 새로운 작업 또는 설비를 도입한 경우: 새로운 작업 공정이 추가되거나, 기존 설비가 변경 또는 신설되어 근골격계 부담이 발생할 수 있는 경우.
3.  근골격계 부담작업에 해당하는 작업 환경을 변경한 경우: 작업 방법, 작업량, 작업 속도 등 작업 환경이 근골격계에 영향을 줄 수 있도록 변경된 경우.
유해요인조사는 근골격계 질환을 예방하기 위한 매우 중요한 활동입니다. 이를 통해 작업장의 유해 요인을 파악하고 개선함으로써 근로자 여러분의 건강을 보호할 수 있습니다. 저희 안전보건팀은 법적 주기에 맞춰 유해요인조사를 실시하고 있으며, 근로자 여러분의 적극적인 참여와 의견을 기다리고 있습니다.</t>
  </si>
  <si>
    <t>밀폐공간 작업 시 안전 수칙은?</t>
  </si>
  <si>
    <t>산업재해조사표 제출 기한과 법적 방법은?</t>
  </si>
  <si>
    <t>화기작업 허가 절차는?</t>
  </si>
  <si>
    <t>천장크레인 달기기구 법적 폐기 기준은?</t>
  </si>
  <si>
    <t>사다리 작업 안전 기준은?</t>
  </si>
  <si>
    <t>안전보건관리규정에 포함해야 할 내용은?</t>
  </si>
  <si>
    <t>관리감독자의 법적 업무 범위는?</t>
  </si>
  <si>
    <t>연삭기 숫돌 교체 시 법적 시험운전 시간은?</t>
  </si>
  <si>
    <t>프레스 작업 안전장치 설치 기준은?</t>
  </si>
  <si>
    <t>지게차 작업 안전 수칙은?</t>
  </si>
  <si>
    <t>하이에어코리아 안전보건팀 AI 챗봇입니다. 관리감독자의 법적 직무와 업무 범위에 대해 문의 주셨습니다.
관리감독자는 현장에서 근로자를 직접 지휘·감독하는 위치에 있는 분들로서, 산업재해 예방을 위한 매우 중요한 역할을 수행합니다. 「산업안전보건법」 제16조 및 동법 시행령 제15조에 따라 관리감독자가 수행해야 할 주요 업무는 다음과 같습니다.
1. 작업과 관련된 기계·기구 또는 설비의 안전·보건 점검 및 이상 유무의 확인
관리감독자는 자신이 지휘·감독하는 작업과 관련된 모든 기계, 기구, 설비가 안전하게 작동하는지 매일 점검하고, 이상이 발견되면 즉시 조치하거나 보고해야 합니다. 예를 들어, 크레인의 와이어로프 상태, 용접기의 절연 상태, 프레스의 방호장치 작동 여부 등을 확인하는 것입니다. 이는 사고 발생 위험을 사전에 차단하는 데 매우 중요합니다.
2. 소속 근로자의 작업복·보호구 및 방호장치의 점검과 그 착용·사용에 관한 교육·지도
근로자들이 작업에 적합한 작업복을 착용하고 있는지, 안전모, 안전화, 보안경, 방진마스크 등 필요한 보호구를 올바르게 착용하고 사용하는지 확인하고 지도해야 합니다. 또한, 기계에 설치된 방호장치가 제대로 작동하는지 점검하고, 근로자들이 방호장치를 임의로 해체하거나 사용하지 않도록 교육해야 합니다. 보호구 미착용이나 방호장치 해체는 중대재해로 이어질 수 있는 심각한 위험 요인입니다.
3. 해당 작업에서 발생한 산업재해에 관한 보고 및 이에 대한 응급조치
만약 작업 중 산업재해가 발생하면, 관리감독자는 즉시 사고 내용을 사업주나 안전보건관리책임자에게 보고하고, 부상당한 근로자에 대한 응급조치를 신속하게 취해야 합니다. 초기 대응은 재해의 확대를 막고 피해를 최소화하는 데 결정적인 역할을 합니다.
4. 해당 작업의 작업장 정리·정돈 및 통로 확보에 대한 확인·감독
작업장이 항상 깨끗하게 정리·정돈되어 있는지, 작업 통로가 확보되어 근로자들이 안전하게 이동할 수 있는지 확인하고 감독해야 합니다. 불필요한 물건이 쌓여 있거나 통로가 막혀 있으면 넘어짐, 부딪힘 등의 사고가 발생할 수 있습니다.
5. 안전관리자, 보건관리자, 안전보건관리담당자, 산업보건의의 지도·조언에 대한 협조
사업장의 안전 및 보건을 총괄하는 안전관리자, 보건관리자 등 전문가들의 지도와 조언에 적극적으로 협조해야 합니다. 이들의 전문적인 지식과 경험을 바탕으로 현장의 안전 수준을 높일 수 있습니다.
6. 위험성평가에 관한 다음 각 목의 업무
*   유해·위험요인의 파악에 대한 참여: 작업 현장의 유해·위험요인을 파악하는 과정에 적극적으로 참여하여 현장 상황을 가장 잘 아는 사람으로서 중요한 정보를 제공해야 합니다.
*   개선조치의 시행에 대한 참여: 위험성평가 결과 도출된 개선조치가 현장에서 효과적으로 시행될 수 있도록 참여하고 감독해야 합니다.
7. 그 밖에 해당 작업의 안전 및 보건에 관한 사항으로서 고용노동부령으로 정하는 사항
위에서 언급된 업무 외에도 고용노동부령으로 정하는 다양한 안전 및 보건 관련 업무를 수행해야 합니다.
관리감독자 여러분의 적극적인 역할 수행은 근로자들의 안전을 지키고 쾌적한 작업 환경을 만드는 데 필수적입니다. 궁금한 점이 있으시면 언제든지 안전보건팀에 문의해 주십시오.</t>
  </si>
  <si>
    <t>크레인 작업 전 점검 사항은?</t>
  </si>
  <si>
    <t>MSDS(물질안전보건자료) 법적 게시 항목은?</t>
  </si>
  <si>
    <t>고압가스 저장소 안전 기준은?</t>
  </si>
  <si>
    <t>국소배기장치 제어풍속의 법적 성능 기준은?</t>
  </si>
  <si>
    <t>위험물 저장·취급 기준은?</t>
  </si>
  <si>
    <t>화학물질 취급 시 MSDS 비치 기준은?</t>
  </si>
  <si>
    <t>특수건강검진 대상과 주기는?</t>
  </si>
  <si>
    <t>유해화학물질 취급시설 자율점검 법적 주기는?</t>
  </si>
  <si>
    <t>청력보존 프로그램 대상 기준은?</t>
  </si>
  <si>
    <t>소방시설 자체점검 종류와 법정 실시 시기는?</t>
  </si>
  <si>
    <t>소방시설 자체점검 종류와 주기는?</t>
  </si>
  <si>
    <t>작업장 통로 및 계단의 법적 조도 기준은?</t>
  </si>
  <si>
    <t>하이에어코리아 안전보건팀 AI 챗봇입니다. 작업장 통로 및 계단의 법적 조도 기준에 대해 문의 주셨습니다.
작업장 통로와 계단의 조도 기준은 근로자의 안전한 통행과 작업을 위해 매우 중요합니다. 「산업안전보건기준에 관한 규칙」에 따라 다음과 같은 조도 기준을 준수해야 합니다.
1. 작업장의 조도 기준 (제8조)
근로자가 상시 작업하는 장소의 작업면 조도는 작업의 종류에 따라 다음과 같은 기준을 맞추어야 합니다.
*   초정밀작업: 750럭스(lux) 이상
*   정밀작업: 300럭스 이상
*   보통작업: 150럭스 이상
*   그 밖의 작업: 75럭스 이상
이 기준은 작업면의 조도를 의미하며, 작업의 성격에 따라 필요한 조도 수준이 달라집니다. 다만, 갱내(坑內) 작업장과 감광재료(感光材料)를 취급하는 작업장은 예외로 합니다.
2. 통로의 조명 기준 (제21조)
근로자가 안전하게 통행할 수 있도록 통로에는 75럭스 이상의 채광 또는 조명시설을 설치해야 합니다.
다만, 갱도 또는 상시 통행을 하지 아니하는 지하실 등을 통행하는 근로자에게 휴대용 조명기구를 사용하도록 한 경우에는 그러하지 아니합니다. 이는 통로의 기본적인 안전을 확보하기 위한 최소한의 조도 기준입니다.
3. 계단의 조도 기준
계단에 대한 별도의 조도 기준은 「산업안전보건기준에 관한 규칙」에 명시되어 있지 않지만, 계단은 통로의 일부로 간주될 수 있으므로 통로의 조도 기준인 75럭스 이상을 준수하는 것이 바람직합니다. 계단은 높이 차이가 있어 넘어지거나 추락할 위험이 상존하므로, 충분한 조도를 확보하여 발을 헛디디거나 장애물을 보지 못해 발생하는 사고를 예방해야 합니다.
저희 하이에어코리아는 근로자 여러분의 안전을 위해 작업장 및 통로, 계단의 조도 기준을 철저히 준수하고 관리하고 있습니다. 혹시 작업장 내 조명이 어둡거나 불편하다고 느끼시는 부분이 있다면 언제든지 안전보건팀에 알려주시기 바랍니다.</t>
  </si>
  <si>
    <t>전기 안전 작업 허가 절차는?</t>
  </si>
  <si>
    <t>이동식 사다리 안전작업 지침상 사용 기준은?</t>
  </si>
  <si>
    <t>승강기 안전검사 주기는?</t>
  </si>
  <si>
    <t>화기작업 시 화재감시자 배치의 법적 기준은?</t>
  </si>
  <si>
    <t>산업재해 발생 시 보고 절차는?</t>
  </si>
  <si>
    <t>법정 안전보건교육 종류와 시간은?</t>
  </si>
  <si>
    <t>밀폐공간 산소 및 유해가스 농도 측정 기준은?</t>
  </si>
  <si>
    <t>개인보호구 지급 및 착용 기준은?</t>
  </si>
  <si>
    <t>어</t>
  </si>
  <si>
    <t>산업안전보건위원회 위원 구성 법적 기준은?</t>
  </si>
  <si>
    <t>하이에어코리아 안전보건팀 AI 챗봇입니다. 산업안전보건위원회 위원 구성에 대한 법적 기준에 대해 자세히 설명해 드리겠습니다.
산업안전보건위원회는 사업장의 안전과 보건에 관한 중요한 사항을 심의하고 의결하는 기구로서, 근로자와 사업주가 함께 참여하여 산업재해를 예방하고 쾌적한 작업환경을 조성하는 데 목적이 있습니다. 위원회는 근로자 위원과 사용자 위원으로 구성되며, 각 위원의 수는 동수로 맞추어야 합니다.
1. 근로자 위원 구성
근로자 위원은 다음 각 호의 사람으로 구성됩니다 (산업안전보건법 시행령 제33조제1항):
*   근로자대표: 근로자의 과반수로 조직된 노동조합이 있는 경우에는 그 노동조합의 대표, 근로자의 과반수로 조직된 노동조합이 없는 경우에는 근로자의 과반수를 대표하는 사람을 말합니다.
*   명예산업안전감독관: 근로자대표가 지명하는 1명 이상의 명예산업안전감독관이 위원이 될 수 있습니다. 명예산업안전감독관은 산업재해 예방 활동에 대한 경험과 지식을 바탕으로 근로자들의 안전과 건강을 대변하는 역할을 합니다.
*   근로자대표가 지명하는 사람: 근로자대표가 해당 사업장의 근로자 중에서 9명 이내로 지명하는 사람이 위원이 될 수 있습니다. 이 경우, 각 사업 부문의 대표성을 고려하여 지명하는 것이 바람직합니다.
2. 사용자 위원 구성
사용자 위원은 다음 각 호의 사람으로 구성됩니다 (산업안전보건법 시행령 제33조제2항):
*   해당 사업의 대표자: 사업을 실질적으로 총괄하는 사람으로서, 사업주 또는 사업주를 대리하는 사람을 말합니다.
*   안전관리자: 사업장의 안전 관리를 총괄하는 안전관리자가 위원이 됩니다.
*   보건관리자: 사업장의 보건 관리를 총괄하는 보건관리자가 위원이 됩니다.
*   산업보건의: 사업장에 산업보건의가 지정되어 있는 경우, 산업보건의가 위원이 됩니다.
*   해당 사업의 대표자가 지명하는 사람: 해당 사업의 대표자가 해당 사업장의 부서장 중에서 9명 이내로 지명하는 사람이 위원이 될 수 있습니다. 이 경우, 각 부서의 안전 및 보건 관련 책임자를 포함하는 것이 효과적입니다.
3. 위원장
산업안전보건위원회의 위원장은 위원 중에서 호선(互選)하되, 근로자 위원과 사용자 위원 중 각 1명을 공동 위원장으로 선출할 수 있습니다 (산업안전보건법 시행령 제33조제3항).
4. 위원 수의 조정
위원의 수는 근로자 위원과 사용자 위원을 합하여 10명 이상 20명 이하로 구성하는 것이 일반적입니다. 다만, 사업장의 규모나 특성을 고려하여 위원 수를 조정할 수 있습니다. 중요한 것은 근로자 위원과 사용자 위원의 수가 항상 동수여야 한다는 점입니다.
왜 이렇게 구성해야 할까요?
산업안전보건위원회는 노사 협력을 통해 산업재해를 예방하는 중요한 역할을 수행합니다. 근로자 위원과 사용자 위원이 동수로 구성되는 것은 어느 한쪽의 의견에 치우치지 않고 균형 잡힌 의사결정을 할 수 있도록 하기 위함입니다. 근로자 위원은 현장의 위험 요소를 가장 잘 알고 있으며, 사용자 위원은 안전보건 정책 수립 및 예산 집행에 대한 권한을 가지고 있으므로, 양측의 협력을 통해 실질적인 안전 개선이 이루어질 수 있습니다.</t>
  </si>
  <si>
    <t>국소배기장치 점검 주기는?</t>
  </si>
  <si>
    <t>근골격계 부담 작업 유해요인조사 절차는?</t>
  </si>
  <si>
    <t>안전보건관리규정 필수 포함 항목 4가지는?</t>
  </si>
  <si>
    <t>도급 시 사업주의 안전보건 의무는?</t>
  </si>
  <si>
    <t>유해화학물질 관리자 선임 및 신고 기한은?</t>
  </si>
  <si>
    <t>중대재해 발생 시 대응 절차는?</t>
  </si>
  <si>
    <t>소방안전관리자 선임 및 법적 신고 절차는?</t>
  </si>
  <si>
    <t>화재 비상 대피 요령은?</t>
  </si>
  <si>
    <t>하이에어코리아 안전보건팀 AI 챗봇입니다. 소화기 설치 간격 및 법적 보행거리 기준에 대해 자세히 설명해 드리겠습니다.
소화기는 화재 초기 진압에 매우 중요한 역할을 하므로, 적절한 위치에 충분한 수량을 비치하는 것이 중요합니다. 소화기 설치 기준은 「화재예방, 소방시설 설치ㆍ유지 및 안전관리에 관한 법률」 및 관련 시행령, 시행규칙에 따라 정해져 있습니다.
1. 소화기 설치 간격 및 보행거리 기준
「화재예방, 소방시설 설치ㆍ유지 및 안전관리에 관한 법률 시행령」 별표 5 제1호 가목 2)에 따르면, 소화기는 각 층마다 설치하되, 특정 소방대상물의 각 부분으로부터 1개의 소화기까지의 보행거리가 20m 이내가 되도록 설치해야 합니다.
*   보행거리 20m 이내: 이는 화재 발생 시 근로자가 가장 가까운 소화기까지 걸어가는 거리가 20m를 넘지 않아야 한다는 의미입니다. 이 기준은 화재 초기에 신속하게 소화기를 사용하여 진압할 수 있도록 하기 위함입니다. 만약 소화기가 너무 멀리 떨어져 있다면, 화재가 확산되어 진압이 어려워질 수 있습니다.
2. 소화기 능력 단위 기준
소화기의 설치 개수는 단순히 보행거리만으로 결정되는 것이 아니라, 해당 특정 소방대상물의 용도 및 면적에 따른 능력 단위를 충족해야 합니다.
「화재예방, 소방시설 설치ㆍ유지 및 안전관리에 관한 법률 시행령」 별표 5 제1호 가목 1)에 따라, 특정 소방대상물에 설치해야 하는 소화기의 능력 단위는 다음과 같습니다.
*   위락시설: 바닥면적 30제곱미터마다 능력단위 1단위 이상
*   공연장, 집회장, 관람장, 문화재, 의료시설, 장례식장, 판매시설, 운수시설, 운동시설, 종교시설, 통신촬영시설: 바닥면적 50제곱미터마다 능력단위 1단위 이상
*   그 밖의 것: 바닥면적 100제곱미터마다 능력단위 1단위 이상
능력 단위란 소화기가 끌 수 있는 화재의 규모를 나타내는 단위입니다. 예를 들어, A급 화재(일반 화재) 1단위는 일반적인 종이, 나무 등의 화재를 진압할 수 있는 능력을 의미합니다. 따라서 사업장의 총면적과 용도에 따라 필요한 총 능력 단위를 계산하고, 이에 맞는 소화기를 배치해야 합니다.
3. 설치 시 유의사항
*   보기 쉬운 곳에 설치: 소화기는 누구나 쉽게 찾을 수 있도록 눈에 잘 띄는 곳에 설치해야 합니다.
*   통행에 지장이 없는 곳: 비상시 대피로를 방해하지 않도록 통행에 지장이 없는 곳에 설치해야 합니다.
*   습기나 직사광선을 피하는 곳: 소화기의 성능 저하를 막기 위해 습기가 적고 직사광선이 닿지 않는 곳에 설치하는 것이 좋습니다.
*   표지 부착: 소화기가 설치된 곳에는 "소화기"라는 표지를 부착하여 쉽게 식별할 수 있도록 해야 합니다.
*   정기적인 점검: 소화기는 정기적으로 압력 게이지 확인, 노후 여부 등을 점검하여 항상 사용 가능한 상태를 유지해야 합니다.
저희 하이에어코리아 현장에서도 화재 예방을 위해 소화기 비치 기준을 철저히 준수하고 있으며, 근로자 여러분께서도 소화기 위치를 숙지하고 비상시 활용법을 알아두시는 것이 중요합니다. 안전은 작은 관심에서부터 시작됩니다.</t>
  </si>
  <si>
    <t>소음 작업장 관리 기준은?</t>
  </si>
  <si>
    <t>청력보존 프로그램 수립 대상 법적 범위는?</t>
  </si>
  <si>
    <t>감염병 유행 시 사업장 대응 방법은?</t>
  </si>
  <si>
    <t>비상 조명등 및 유도등 관리 기준은?</t>
  </si>
  <si>
    <t>전기설비 정기검사 주기와 법적 대상 범위는?</t>
  </si>
  <si>
    <t>폭발 위험 장소 및 방폭 기구란?</t>
  </si>
  <si>
    <t>아차사고 신고 시 법적 불이익 처우 금지는?</t>
  </si>
  <si>
    <t>하이에어코리아 안전보건팀 AI 챗봇입니다.
소방시설 자체점검의 종류와 법정 실시 시기에 대해 설명해 드리겠습니다. 소방시설은 화재 발생 시 인명과 재산을 보호하는 중요한 설비이므로, 정기적인 점검을 통해 항상 정상 작동 상태를 유지해야 합니다.
1. 소방시설 자체점검의 종류
소방시설 자체점검은 크게 두 가지로 나뉩니다.
*   작동기능점검: 소방시설을 수동 또는 자동으로 조작하여 정상적으로 작동하는지 확인하는 점검입니다. 예를 들어, 소화기가 제대로 분사되는지, 화재경보기가 울리는지, 스프링클러 설비가 작동하는지 등을 확인합니다.
*   종합정밀점검: 소방시설의 작동 기능 점검을 포함하여 설비별 주요 부품의 구조, 기능, 성능 및 설계도서와의 일치 여부 등을 종합적으로 확인하는 점검입니다. 이는 소방시설 전반에 걸친 심층적인 점검이라고 할 수 있습니다.
2. 법정 실시 시기
소방시설 자체점검의 법정 실시 시기는 특정소방대상물의 종류와 규모에 따라 다릅니다.
*   작동기능점검:
    *   대상: 모든 특정소방대상물
    *   시기: 연 1회 이상 실시해야 합니다. 다만, 종합정밀점검 대상인 특정소방대상물은 종합정밀점검을 받은 달부터 6개월이 되는 달에 작동기능점검을 실시해야 합니다.
*   종합정밀점검:
    *   대상:
        *   스프링클러설비, 물분무등소화설비(호스릴 방식은 제외), 제연설비가 설치된 특정소방대상물
        *   연면적 5,000제곱미터 이상인 특정소방대상물(아파트 제외)
        *   연면적 2,000제곱미터 이상인 다중이용업소
        *   그 밖에 소방청장이 정하여 고시하는 특정소방대상물
    *   시기: 연 1회 이상 실시해야 합니다. 신축, 증축, 개축, 재축, 이전, 용도변경 또는 대수선된 특정소방대상물은 건축물 사용승인일 또는 소방시설 완공검사증명서를 발급받은 날부터 60일 이내에 최초 점검을 실시해야 합니다.
왜 이러한 점검이 중요할까요?
소방시설은 평소에는 사용되지 않지만, 화재 발생 시에는 생명과 직결되는 중요한 역할을 합니다. 정기적인 자체점검은 다음과 같은 이유로 매우 중요합니다.
*   초기 화재 진압 및 인명 대피 확보: 소방시설이 정상적으로 작동해야 초기 화재를 효과적으로 진압하고, 근로자들이 안전하게 대피할 수 있는 시간을 확보할 수 있습니다. 만약 소방시설이 고장 나 있다면 작은 화재도 큰 피해로 이어질 수 있습니다.
*   법적 의무 준수 및 과태료 예방: 「소방시설 설치 및 관리에 관한 법률」 제22조에 따라 특정소방대상물의 관계인은 소방시설을 자체점검하고 그 결과를 보고할 의무가 있습니다. 이를 위반할 경우 과태료가 부과될 수 있습니다.
*   시설물의 안전성 유지: 정기적인 점검을 통해 소방시설의 노후화나 손상을 미리 발견하고 보수하여, 시설물의 전반적인 안전성을 높일 수 있습니다.
저희 하이에어코리아 안전보건팀은 근로자 여러분의 안전을 최우선으로 생각합니다. 소방시설 자체점검은 단순한 의무가 아니라, 우리 모두의 생명을 지키는 중요한 활동임을 기억해 주시기 바랍니다. 궁금한 점이 있으시면 언제든지 문의해 주십시오.</t>
  </si>
  <si>
    <t>압력용기 및 보일러 검사 기준은?</t>
  </si>
  <si>
    <t>MSDS 교육 실시 및 기록 법적 보존 기간은?</t>
  </si>
  <si>
    <t>유해화학물질 누출 시 대응 절차는?</t>
  </si>
  <si>
    <t>특별안전보건교육 대상 작업 및 이수 시간은?</t>
  </si>
  <si>
    <t>고압가스 및 가스 용기 취급 주의사항은?</t>
  </si>
  <si>
    <t>관리감독자 정기 교육 법적 시간 및 방법은?</t>
  </si>
  <si>
    <t>특별관리물질의 종류 및 관리법은?</t>
  </si>
  <si>
    <t>폐기물 분리 배출 및 보관 방법은?</t>
  </si>
  <si>
    <t>산업안전보건법상 근로자의 법적 준수 의무는?</t>
  </si>
  <si>
    <t>대기 및 수질 오염 방지 시설이란?</t>
  </si>
  <si>
    <t>화학사고 발생 시 관계기관 법적 신고 기준은?</t>
  </si>
  <si>
    <t>직무 스트레스 예방 및 관리란?</t>
  </si>
  <si>
    <t>하이에어코리아 안전보건팀 AI 챗봇입니다.
근로자 정기 안전보건교육의 법정 시간에 대해 설명해 드리겠습니다. 이 교육은 근로자 여러분이 작업 현장에서 발생할 수 있는 위험을 인지하고 예방하는 데 필수적인 과정입니다.
근로자 정기 안전보건교육 법정 시간
「산업안전보건법 시행규칙」 제26조(교육 시간 및 내용)에 따라, 사업주는 근로자에게 정기적으로 안전보건교육을 실시해야 하며, 그 교육 시간은 다음과 같습니다.
1.  사무직에 종사하는 근로자, 판매업무에 직접 종사하는 근로자 외의 근로자:
    *   매 분기 6시간 이상
    *   저희 하이에어코리아와 같이 제조업 현장에서 근무하시는 대부분의 근로자분들이 여기에 해당됩니다.
2.  사무직에 종사하는 근로자:
    *   매 분기 3시간 이상
3.  판매업무에 직접 종사하는 근로자:
    *   매 분기 3시간 이상
4.  관리감독자의 지위에 있는 사람:
    *   연간 16시간 이상
    *   관리감독자는 일반 근로자보다 더 많은 안전보건 관련 업무를 수행하므로, 더 많은 교육 시간을 이수해야 합니다.
왜 정기 안전보건교육이 중요할까요?
정기 안전보건교육은 단순히 법적 의무를 넘어, 다음과 같은 중요한 의미를 가집니다.
*   사고 예방: 교육을 통해 작업 현장의 잠재적 위험 요소를 파악하고, 안전 수칙을 숙지하여 사고 발생 가능성을 줄일 수 있습니다. 예를 들어, 중량물 취급 시 올바른 자세, 화학물질 사용 시 보호구 착용의 중요성 등을 배우게 됩니다.
*   안전 의식 향상: 반복적인 교육은 근로자 여러분의 안전 의식을 높이고, 안전을 생활화하는 데 도움을 줍니다. '나 하나쯤이야' 하는 안일한 생각이 큰 사고로 이어질 수 있음을 항상 상기시켜 드립니다.
*   법규 준수: 「산업안전보건법」은 근로자의 안전과 건강을 보호하기 위한 최소한의 기준을 제시하고 있습니다. 교육을 통해 이러한 법규를 이해하고 준수함으로써 법적 문제 발생을 예방할 수 있습니다.
*   작업 효율성 증대: 안전한 작업 환경은 근로자의 불안감을 해소하고, 작업에 집중할 수 있도록 하여 결과적으로 생산성 향상에도 기여합니다.
저희 하이에어코리아 안전보건팀은 근로자 여러분이 안전하고 건강하게 일할 수 있도록 최선을 다하고 있습니다. 정기 안전보건교육에 적극적으로 참여하시어 안전한 작업 환경을 함께 만들어 나가는 데 동참해 주시기를 부탁드립니다. 궁금한 점이 있으시면 언제든지 문의해 주십시오.</t>
  </si>
  <si>
    <t>가스 용기 역화방지기 설치 법적 의무 사항은?</t>
  </si>
  <si>
    <t>현장 조명 및 소음 법적 기준은?</t>
  </si>
  <si>
    <t>폭염·한파 등 계절별 안전 수칙은?</t>
  </si>
  <si>
    <t>밀폐공간 산소 농도 측정 기준은?</t>
  </si>
  <si>
    <t>도급 사업 안전보건협의체 회의 법적 주기는?</t>
  </si>
  <si>
    <t>작업장 환기 및 국소배기장치 효율이란?</t>
  </si>
  <si>
    <t>안전보건표지의 종류와 의미는?</t>
  </si>
  <si>
    <t>작업장 환기 설비 법적 성능 및 관리 기준은?</t>
  </si>
  <si>
    <t>하이에어코리아 안전보건팀 AI 챗봇입니다.
화기작업 시 화재감시자 배치에 대한 법적 기준은 산업안전보건기준에 관한 규칙에 명시되어 있습니다. 근로자의 안전을 위해 화재감시자 배치는 매우 중요하며, 그 기준은 다음과 같습니다.
화재감시자 배치의 법적 기준
산업안전보건기준에 관한 규칙 제241조(화재감시자의 배치)에 따르면, 사업주는 다음 각 호의 어느 하나에 해당하는 장소에서 화재 위험 작업(용접, 용단 등 불꽃을 발생시키거나 화기를 사용하는 작업)을 하는 경우 화재감시자를 배치해야 합니다.
1. 작업 반경 11미터 이내에 가연성 물질이 있는 장소: 불꽃이나 열이 가연성 물질에 닿아 화재가 발생할 위험이 크기 때문에 감시가 필요합니다.
2. 작업 반경 11미터 이내의 바닥 하부에 가연성 물질이 11미터 이상 떨어져 있지만, 불꽃에 의해 쉽게 발화될 우려가 있는 장소: 예를 들어, 바닥 틈새나 배관 등을 통해 불꽃이 아래로 떨어져 화재를 유발할 수 있는 경우입니다.
3. 인접한 작업 장소로 불꽃이 흩날릴 우려가 있는 장소: 작업 공간이 협소하거나 개방되어 있어 불꽃이 다른 곳으로 튀어 화재를 일으킬 가능성이 있는 경우입니다.
4. 가연성 물질이 있는 설비의 내측에서 작업하는 경우: 탱크, 배관 등 가연성 물질이 보관되었던 설비 내부에서 작업할 때는 잔류 가스나 물질로 인해 폭발 및 화재 위험이 매우 높으므로 특별한 감시가 필요합니다.
화재감시자의 역할 및 준수 사항
화재감시자는 단순히 지켜보는 것을 넘어, 다음과 같은 역할을 수행해야 합니다.
*   초기 화재 진압: 소화기 등 소화 설비를 사용하여 초기 화재를 진압할 수 있도록 준비해야 합니다.
*   대피 유도: 화재 발생 시 근로자들을 안전한 장소로 대피시키는 역할을 해야 합니다.
*   비상 연락: 화재 발생 시 즉시 관리감독자나 소방서 등 관계 기관에 연락하여 신속한 조치가 이루어지도록 해야 합니다.
사고 예방을 위한 추가 조언
과거 화기작업 중 발생한 화재 사고의 대부분은 작은 불씨나 불꽃이 가연물에 옮겨붙어 발생했습니다. '설마 괜찮겠지' 하는 안일한 생각은 큰 사고로 이어질 수 있습니다. 따라서 화재감시자 배치는 법적 의무를 넘어, 근로자의 생명과 재산을 보호하기 위한 필수적인 조치임을 명심해 주십시오.
작업 전에는 반드시 작업계획서를 통해 화재 위험 요소를 파악하고, 그에 맞는 화재감시자 배치 및 소화 설비 준비 등 안전 조치를 철저히 해주시기 바랍니다.
궁금한 점이 있으시면 언제든지 다시 문의해 주십시오.</t>
  </si>
  <si>
    <t>기계 정비 시 전원 차단 법적 준수 사항은?</t>
  </si>
  <si>
    <t>안전검사 미실시 시 법적 과태료 부과 기준은?</t>
  </si>
  <si>
    <t>소음성 난청 예방 보호구 법적 지급 기준은?</t>
  </si>
  <si>
    <t>산업안전보건법상 특별관리물질 관리 지침은?</t>
  </si>
  <si>
    <t>하이에어코리아 안전보건팀 AI 챗봇입니다.
특수건강진단 대상 유해인자와 검진 주기에 대해 문의 주셨습니다. 근로자분들의 건강을 보호하고 직업병을 예방하기 위해 매우 중요한 질문입니다.
특수건강진단 대상 유해인자 및 검진 주기
산업안전보건법에 따라 특수건강진단은 유해인자에 노출되는 업무에 종사하는 근로자의 건강을 보호하기 위해 실시됩니다. 주요 내용은 다음과 같습니다.
1.  대상 유해인자:
    *   화학적 인자: 유기용제(톨루엔, 자일렌 등), 중금속(납, 수은 등), 특정화학물질(벤젠, 염화비닐 등), 분진(석면, 결정형 유리규산 등) 등 약 180여 종의 물질이 지정되어 있습니다.
    *   물리적 인자: 소음, 진동, 방사선, 고기압 등 근로자의 건강에 영향을 미칠 수 있는 물리적 요인들이 포함됩니다.
    *   야간작업: 6개월간 밤 12시부터 오전 5시까지의 시간을 포함하여 계속되는 8시간 작업을 월 평균 4회 이상 수행하는 경우 또는 6개월간 오후 10시부터 다음 날 오전 6시까지의 시간을 포함하여 계속되는 8시간 작업을 월 평균 4회 이상 수행하는 경우도 특수건강진단 대상에 해당합니다.
2.  검진 주기:
    *   일반적인 유해인자: 대부분의 유해인자는 12개월에 1회 이상 검진을 받도록 규정되어 있습니다.
    *   일부 유해인자: 벤젠, 석면 등 특히 유해성이 높은 일부 물질이나 특정 작업의 경우 6개월에 1회 이상 또는 24개월에 1회 이상 등 주기가 다르게 적용될 수 있습니다. 예를 들어, 벤젠에 노출되는 근로자는 6개월에 1회, 야간작업 근로자는 6개월에 1회(최초 1회는 배치 후 1개월 이내) 검진을 받습니다.
    *   배치 전 건강진단: 특수건강진단 대상 업무에 배치하기 전에 해당 유해인자에 대한 건강진단을 실시하여 직업성 질병의 발생 위험을 미리 확인해야 합니다.
왜 특수건강진단을 받아야 할까요?
조선 기자재 제조업 현장에서는 용접 흄, 유기용제, 소음 등 다양한 유해인자가 발생할 수 있습니다. 이러한 유해인자에 지속적으로 노출되면 다음과 같은 위험이 있습니다.
*   용접 흄: 호흡기 질환(폐암, 만성기관지염 등), 신경계 질환 등을 유발할 수 있습니다.
*   유기용제: 중추신경계 손상, 간 기능 이상, 신장 질환 등을 초래할 수 있습니다.
*   소음: 소음성 난청을 유발하며, 이는 한 번 발생하면 회복하기 어렵습니다.
특수건강진단은 이러한 유해인자로 인한 건강 이상을 조기에 발견하고, 필요한 경우 적절한 조치를 취하여 직업병으로 발전하는 것을 막기 위한 필수적인 과정입니다. 정기적인 건강진단을 통해 자신의 건강 상태를 확인하고, 이상 소견이 발견되면 즉시 안전보건팀에 알려주시기 바랍니다.
궁금한 점이 있으시면 언제든지 다시 문의해 주십시오. 근로자 여러분의 안전과 건강을 위해 최선을 다하겠습니다.</t>
  </si>
  <si>
    <t>하이에어코리아 안전보건팀 AI 챗봇입니다.
중대재해 발생 시 즉시 보고 절차에 대해 문의 주셨습니다. 중대재해는 근로자의 생명과 건강에 심각한 영향을 미치는 사고이므로, 신속하고 정확한 보고는 추가 피해를 막고 재발 방지 대책을 수립하는 데 매우 중요합니다.
중대재해 발생 시 즉시 보고 절차
산업안전보건법 시행규칙 제3조에 따르면, "중대재해"란 다음 각 호의 어느 하나에 해당하는 재해를 말합니다.
1.  사망자가 1명 이상 발생한 재해
2.  3개월 이상의 요양이 필요한 부상자가 동시에 2명 이상 발생한 재해
3.  부상자 또는 직업성 질병자가 동시에 10명 이상 발생한 재해
중대재해가 발생했을 경우, 사업주는 지체 없이 다음 사항을 관할 지방고용노동관서의 장에게 보고해야 합니다.
1.  발생 개요: 언제, 어디서, 어떤 작업 중에 재해가 발생했는지 육하원칙에 따라 간략하게 설명합니다.
2.  피해 상황: 사망자, 부상자, 질병자 등 재해자의 수와 부상 정도를 파악하여 보고합니다.
3.  조치 및 전망: 재해 발생 후 취한 응급조치, 구조 활동, 병원 이송 등의 조치 내용과 향후 상황에 대한 예측을 보고합니다.
4.  재발 방지 계획: 사고 원인을 파악하고 유사 재해의 재발을 방지하기 위한 잠정적인 대책을 보고합니다.
왜 즉시 보고가 중요할까요?
*   신속한 대응: 즉시 보고를 통해 관계 기관이 신속하게 현장에 출동하여 추가적인 인명 피해를 방지하고 사고 수습을 지원할 수 있습니다.
*   정확한 원인 조사: 사고 발생 직후 현장 보존 및 증거 확보가 이루어져야 정확한 사고 원인 조사가 가능하며, 이는 효과적인 재발 방지 대책 수립의 기초가 됩니다.
*   법적 의무 이행: 산업안전보건법에 따라 중대재해 발생 시 즉시 보고는 사업주의 법적 의무이며, 이를 위반할 경우 법적 처벌을 받을 수 있습니다.
현장에서 중대재해 발생 시 행동 요령
1.  인명 구조 및 응급조치: 가장 먼저 재해자를 안전한 장소로 옮기고 응급처치를 실시하며, 119 등 긴급 구조기관에 연락합니다.
2.  추가 재해 방지: 사고 현장의 위험 요소를 제거하거나 통제하여 추가적인 사고 발생을 막습니다. (예: 전원 차단, 위험 물질 격리 등)
3.  현장 보존: 사고 원인 조사를 위해 사고 현장을 최대한 원형 그대로 보존합니다. (단, 인명 구조 및 추가 재해 방지를 위한 조치는 예외)
4.  안전보건팀에 즉시 보고: 현장 관리자 또는 목격자는 즉시 안전보건팀(본사: 서민수, 이정환 / 창녕: 이호성)에 중대재해 발생 사실을 보고합니다.
중대재해는 예방이 최우선이지만, 만약 발생한다면 신속하고 정확한 보고와 대응이 무엇보다 중요합니다. 모든 근로자분들이 안전 수칙을 철저히 준수하여 중대재해가 발생하지 않도록 함께 노력해 주시기를 바랍니다.
궁금한 점이 있으시면 언제든지 다시 문의해 주십시오.</t>
  </si>
  <si>
    <t>연삭기 숫돌 교체 후에는 안전을 위해 시험운전을 반드시 해야 합니다. 시험운전 시간은 숫돌의 종류에 따라 다릅니다.
*   지름 10cm 미만의 숫돌: 1분 이상 시험운전을 해야 합니다.
*   지름 10cm 이상의 숫돌: 3분 이상 시험운전을 해야 합니다.
따라서 숫돌 교체 후에는 반드시 규정된 시간 동안 시험운전을 하여 안전을 확보하시기 바랍니다.</t>
  </si>
  <si>
    <t>위험물안전관리법상 지정수량의 법적 정의는?</t>
  </si>
  <si>
    <t>하이에어코리아 안전보건팀 AI 챗봇입니다.
위험물안전관리법에서 '지정수량'이란 위험물의 종류별로 위험성을 고려하여 정해진 수량을 의미합니다. 이는 제조소 등의 설치 허가에 있어서 최소한의 기준이 되는 수량으로 정의됩니다.
즉, 특정 위험물을 일정 수량 이상 저장하거나 취급할 경우, 해당 시설은 위험물안전관리법의 적용을 받게 되며, 이에 따른 허가 및 안전 기준을 준수해야 합니다. 이는 위험물로 인한 화재나 폭발 등의 사고를 예방하고, 근로자분들과 주변의 안전을 확보하기 위한 중요한 기준입니다.</t>
  </si>
  <si>
    <t>네, 안전보호구는 반드시 착용하셔야 합니다. 현장에서 안전보호구를 착용하는 것은 단순히 규칙을 지키는 것을 넘어, 근로자분들의 생명과 건강을 지키는 가장 기본적인 방법이기 때문입니다.
작업 현장에는 예측하기 어려운 다양한 위험 요소들이 존재합니다. 예를 들어, 날아오는 파편, 떨어지는 물체, 유해한 화학물질, 소음, 뜨거운 열 등은 언제든지 심각한 부상이나 질병으로 이어질 수 있습니다. 안전보호구는 이러한 위험으로부터 우리 몸을 보호해주는 최후의 방어선 역할을 합니다.
만약 안전모를 착용하지 않은 상태에서 머리 위로 물체가 떨어진다면 심각한 머리 부상으로 이어질 수 있고, 보안경을 착용하지 않으면 눈에 이물질이 들어가 시력을 잃을 수도 있습니다. 또한, 방진마스크나 방독마스크 없이 유해 물질에 노출되면 호흡기 질환이나 급성 중독을 겪을 수 있습니다.
안전보호구 착용은 잠재적인 사고로부터 자신을 보호하고, 안전하게 작업을 마치고 가족의 품으로 돌아갈 수 있도록 돕는 필수적인 행동입니다. 불편하게 느껴질 수도 있지만, 잠시의 불편함이 평생의 후회로 이어지지 않도록 항상 올바른 안전보호구를 착용해 주시기를 당부드립니다.</t>
  </si>
  <si>
    <t>하이에어코리아 안전보건팀 AI 챗봇입니다.
산업용 로봇 작업 시 안전울타리 설치는 근로자의 안전을 위해 매우 중요합니다. 로봇의 예기치 못한 움직임이나 오작동으로 인한 사고를 예방하기 위한 조치인데요, 관련 기준에 대해 자세히 설명해 드리겠습니다.
산업용 로봇 안전울타리 설치 기준
산업용 로봇의 운전으로 인해 근로자에게 발생할 수 있는 부상 등의 위험을 방지하기 위해 다음 기준에 따라 안전울타리를 설치해야 합니다.
-   높이 기준: 높이 1.8미터 이상의 울타리를 설치해야 합니다.
    -   다만, 로봇의 가동 범위 등을 고려하여 높이로 인한 위험성이 없는 경우에는 높이를 그 이하로 조절할 수 있습니다.
-   울타리 설치가 어려운 경우: 컨베이어 시스템 설치 등으로 울타리를 설치할 수 없는 일부 구간에 대해서는 안전매트 또는 광전자식 방호장치 등 감응형 방호장치를 설치해야 합니다.
-   예외 사항: 고용노동부장관이 해당 로봇의 안전 기준이 한국산업표준 또는 국제적으로 통용되는 안전 기준에 부합한다고 인정하는 경우에는 위 조치를 하지 않을 수 있습니다.
안전울타리 설치의 중요성
안전울타리는 로봇의 작업 공간과 근로자의 작업 공간을 명확히 분리하여, 로봇이 작동하는 동안 근로자가 위험 구역에 진입하는 것을 물리적으로 차단하는 역할을 합니다. 이는 로봇의 갑작스러운 움직임, 오작동, 또는 프로그램 오류 등으로 인해 발생할 수 있는 충돌, 협착 사고를 예방하는 가장 기본적인 안전 조치입니다.
과거 사례를 보면, 로봇의 작동 범위 내에서 작업자가 인지하지 못한 채 접근했다가 로봇 팔에 부딪히거나 끼이는 사고가 종종 발생했습니다. 이러한 사고는 대부분 치명적인 부상으로 이어지기 때문에, 견고한 안전울타리 설치는 필수적입니다.
추가적인 안전 조치
안전울타리 외에도 로봇 작업 시에는 다음과 같은 안전 조치들을 함께 준수해야 합니다.
1.  작업 지침 준수: 로봇의 조작 방법 및 순서, 작업 중 매니퓰레이터의 속도, 2명 이상 작업 시 신호 방법, 이상 발견 시 조치 등 로봇 작업에 관한 지침을 정하고 그 지침에 따라 작업해야 합니다.
2.  비상 정지 조치: 작업 중인 근로자 또는 감시자는 이상을 발견하면 즉시 로봇의 운전을 정지시킬 수 있도록 조치해야 합니다.
3.  작업 중 표시: 로봇의 기동 스위치 등에 작업 중이라는 표시를 하여 작업에 종사하고 있지 않은 사람이 스위치를 조작할 수 없도록 해야 합니다.
4.  수리, 검사, 조정 등 작업 시 조치: 로봇 작동 범위 내에서 수리, 검사, 조정, 청소, 급유 또는 결과 확인 작업을 할 때는 로봇의 운전을 정지하고, 기동 스위치를 열쇠로 잠근 후 열쇠를 별도 관리하거나 작업 중 표지판을 부착하는 등 다른 사람이 조작할 수 없도록 해야 합니다.
이러한 안전 수칙들을 철저히 지켜서 안전한 작업 환경을 만들어 주시기를 당부드립니다. 궁금한 점이 있으시면 언제든지 다시 문의해 주십시오.</t>
  </si>
  <si>
    <t>안녕하세요! 하이에어코리아 안전보건팀 AI 챗봇입니다. 관리감독자님의 법적 직무와 업무 범위에 대해 자세히 설명해 드리겠습니다. 현장에서 관리감독자님의 역할은 근로자분들의 안전을 지키는 데 매우 중요합니다.
관리감독자님은 사업장의 생산과 관련된 업무와 그 소속 직원을 직접 지휘, 감독하는 분으로서, 안전 및 보건에 관한 업무를 수행해야 할 법적 의무가 있습니다. 이는 단순히 생산 목표 달성뿐만 아니라, 작업 현장의 위험 요소를 파악하고 개선하여 근로자분들이 안전하게 일할 수 있는 환경을 만드는 데 핵심적인 역할을 한다는 의미입니다.
관리감독자님의 주요 직무와 업무 범위는 다음과 같습니다.
1.  사업장 내 위험성 평가 참여 및 실시
    *   작업 현장의 유해·위험 요인을 직접 확인하고, 이를 평가하여 개선 대책을 수립하는 데 참여해야 합니다.
    *   특히, 작업 전 TBM(Tool Box Meeting) 등을 통해 당일 작업의 위험 요소를 근로자들에게 주지시키고, 안전 수칙을 함께 확인하는 것이 중요합니다.
2.  안전보건교육 실시 및 지도
    *   소속 근로자들에게 안전보건교육을 실시하고, 교육 내용을 잘 이해하고 실천하는지 지도해야 합니다.
    *   새로운 장비 도입이나 작업 방법 변경 시에는 반드시 관련 안전 교육을 실시하여 미숙련으로 인한 사고를 예방해야 합니다.
3.  작업장 정리정돈 및 통로 확보 지도
    *   작업장 내 불필요한 물건이나 자재가 방치되지 않도록 정리정돈을 지도하고, 안전한 통로를 확보하여 넘어지거나 부딪히는 사고를 예방해야 합니다.
    *   특히, 중량물 운반 시에는 통로가 확보되었는지, 낙하 위험은 없는지 철저히 확인해야 합니다.
4.  보호구 착용 및 관리 감독
    *   근로자들이 작업에 필요한 안전모, 안전화, 보안경, 방진마스크 등 개인 보호구를 올바르게 착용하고 있는지 항상 확인하고 지도해야 합니다.
    *   보호구가 손상되거나 제 기능을 하지 못할 경우 즉시 교체하도록 조치하여 보호구 미착용 또는 불량으로 인한 사고를 방지해야 합니다.
5.  기계·설비의 안전 점검 및 이상 유무 확인
    *   작업 전 사용하는 기계·설비의 안전장치 작동 여부, 비상정지 장치, 방호장치 등을 매일 점검하고 이상 유무를 확인해야 합니다.
    *   만약 이상을 발견하면 즉시 사용을 중지시키고 관련 부서에 보고하여 수리 또는 교체하도록 조치해야 합니다. '설마 괜찮겠지' 하는 안일한 생각은 큰 사고로 이어질 수 있습니다.
6.  유해물질 취급 시 보호 조치 확인
    *   화학물질 등 유해물질을 취급하는 작업 시에는 국소배기장치가 제대로 작동하는지, 환기는 충분한지 확인해야 합니다.
    *   근로자들이 방독마스크, 보호장갑 등 적절한 보호구를 착용하고 있는지 감독하여 급성 중독이나 직업병을 예방해야 합니다.
7.  산업재해 발생 시 보고 및 응급조치
    *   산업재해가 발생하면 즉시 상급자에게 보고하고, 피해 확산을 막기 위한 응급조치를 취해야 합니다.
    *   사고 현장을 보존하고 사고 원인 조사에 적극적으로 협조하여 재발 방지 대책을 수립하는 데 기여해야 합니다.
관리감독자님은 현장의 최전선에서 근로자분들의 안전을 책임지는 중요한 역할을 수행하십니다. 혹시라도 업무 중 궁금한 점이나 어려운 점이 있으시면 언제든지 안전보건팀(본사: 서민수, 이정환 / 창녕: 이호성)으로 문의해 주십시오.
안전한 작업 환경 조성을 위해 함께 노력해 주셔서 감사합니다.</t>
  </si>
  <si>
    <t>안녕하세요! 하이에어코리아 안전보건팀 AI 챗봇입니다.
유해화학물질 관리자 선임 및 신고 기한에 대해 자세히 설명해 드리겠습니다.
유해화학물질 관리자는 사업장에서 유해화학물질 취급시설의 안전을 확보하고 유해화학물질로 인한 위험을 예방하는 중요한 역할을 수행합니다. 따라서 정해진 기한 내에 관리자를 선임하고 신고하는 것이 매우 중요합니다.
선임 및 신고 기한은 다음과 같습니다.
1.  유해화학물질관리자 최초 선임:
    *   유해화학물질 영업자는 사업 개시 전에 유해화학물질관리자를 선임해야 합니다.
    *   선임 후에는 지체 없이 그 사실을 기후에너지환경부장관에게 신고해야 합니다.
2.  유해화학물질관리자 변경 또는 해임 시 재선임:
    *   선임된 유해화학물질관리자가 해임되거나 퇴직한 경우에는 해임 또는 퇴직한 날부터 30일 이내에 다른 유해화학물질관리자를 선임해야 합니다.
    *   만약 30일 이내에 선임하는 것이 어려운 특별한 사정이 있다면, 기후에너지환경부장관의 승인을 받아 30일 이내의 범위에서 그 기간을 연장할 수 있습니다.
    *   새로운 관리자를 선임한 경우에도 지체 없이 그 사실을 기후에너지환경부장관에게 신고해야 합니다.
왜 이 규칙을 지켜야 할까요?
유해화학물질은 인체에 유해하거나 폭발, 화재 등의 위험을 초래할 수 있는 물질입니다. 관리자가 부재하거나 변경 사항이 즉시 신고되지 않으면, 다음과 같은 문제가 발생할 수 있습니다.
*   화학사고 발생 위험 증가: 유해화학물질 취급 기준 준수, 개인보호구 착용 지도, 취급시설 점검 등 관리자의 직무가 제대로 수행되지 않아 사고 발생 위험이 커집니다.
*   사고 발생 시 초기 대응 지연: 사고 발생 시 신속하고 적절한 초기 대응이 어려워 피해가 확대될 수 있습니다.
*   법적 책임: 정해진 기한 내에 선임 및 신고를 하지 않을 경우, 관련 법규 위반으로 인한 행정처분이나 벌칙을 받을 수 있습니다. 이는 회사의 신뢰도 하락과 경제적 손실로 이어질 수 있습니다.
현장에서 특히 주의해야 할 사항:
*   관리자 공백 최소화: 관리자가 퇴직하거나 자리를 비우게 될 경우, 미리 후임자를 물색하고 교육하여 공백 기간을 최소화해야 합니다.
*   대리자 지정: 유해화학물질관리자가 여행, 질병 등으로 일시적으로 직무를 수행할 수 없을 때는 반드시 대리자를 지정하여 직무를 대행하게 해야 합니다. 대리자의 대행 기간은 30일 이내로 하되, 한 차례만 연장할 수 있습니다.
*   안전 교육 이수: 유해화학물질관리자는 물론, 유해화학물질을 취급하는 모든 종사자는 정기적으로 유해화학물질 안전교육을 이수해야 합니다. 이는 사고 예방의 가장 기본적인 단계입니다.
저희 하이에어코리아 안전보건팀은 근로자 여러분의 안전을 최우선으로 생각합니다. 유해화학물질 관리자 선임 및 신고와 관련하여 궁금한 점이 있으시면 언제든지 문의해 주십시오.</t>
  </si>
  <si>
    <t>안녕하세요, 하이에어코리아 안전보건팀 AI 챗봇입니다. 근골격계 부담작업 유해요인조사 주기에 대해 문의 주셨네요. 근로자분들의 건강과 안전을 위해 매우 중요한 질문입니다.
근골격계 부담작업 유해요인조사는 3년마다 한 번씩 실시해야 합니다.
다만, 다음과 같은 경우에는 3년 주기와 관계없이 1개월 이내에 추가적인 유해요인 조사를 실시해야 합니다.
*   근골격계질환자가 발생했거나 업무상 질병으로 인정받은 경우: 근로자가 근골격계질환으로 진단받았거나, 산업재해로 인정받은 경우에는 해당 질환 발생일로부터 1개월 이내에 조사를 해야 합니다. 다만, 최근 1년 이내에 이미 유해요인 조사를 하고 개선 조치를 완료했다면 다시 하지 않아도 됩니다.
*   새로운 근골격계 부담작업 또는 설비를 도입한 경우: 새로운 작업 방식이나 장비를 도입하여 근골격계에 부담을 줄 수 있는 작업이 생겼다면 1개월 이내에 조사를 해야 합니다.
*   근골격계 부담작업의 작업량, 작업공정 등 작업환경을 변경한 경우: 기존 작업의 양이 늘어나거나 작업 공정이 바뀌는 등 근로자에게 부담을 줄 수 있는 환경 변화가 있다면 1개월 이내에 조사를 해야 합니다.
*   신설 사업장의 경우: 사업장이 새로 만들어졌다면 신설일로부터 1년 이내에 최초 유해요인 조사를 실시해야 합니다.
유해요인 조사 시에는 근로자 대표 또는 해당 작업 근로자를 반드시 참여시켜야 합니다. 근로자분들의 의견이 가장 중요하기 때문입니다.
조사 방법으로는 근로자와의 면담, 증상 설문조사, 인간공학적 측면을 고려한 조사 등 다양한 방법을 활용하여 정확하게 파악해야 합니다.
근골격계 질환은 장기적으로 근로자분들의 건강을 해칠 수 있으므로, 정기적인 유해요인 조사와 개선 노력이 매우 중요합니다. 혹시 작업 중 불편함을 느끼신다면 주저하지 마시고 안전보건팀에 알려주시기 바랍니다.</t>
  </si>
  <si>
    <t>중대재해처벌법?</t>
  </si>
  <si>
    <t>안녕하세요. 하이에어코리아 안전보건팀 AI 챗봇입니다.
중대재해처벌법에 대해 문의주셨네요. 중대재해처벌법은 사업 또는 사업장, 공중이용시설 및 공중교통수단을 운영하거나 인체에 해로운 원료 및 제품을 제조 또는 가공하는 사업주 또는 경영책임자 등이 안전보건 확보 의무를 위반하여 인명 피해를 발생하게 한 경우 처벌함으로써 중대재해를 예방하고 시민과 종사자의 생명 및 신체의 안전을 확보하는 것을 목적으로 합니다.
이 법에서 말하는 중대재해는 크게 두 가지로 나뉩니다.
1.  중대산업재해: 산업재해 중 다음 어느 하나에 해당하는 결과를 야기한 재해를 말합니다.
    *   사망자가 1명 이상 발생한 재해
    *   동일한 사고로 6개월 이상 치료가 필요한 부상자가 2명 이상 발생한 재해
    *   동일한 유해요인으로 직업성 질병자가 1년 이내에 3명 이상 발생한 재해
2.  중대시민재해: 특정 원료 또는 제조물, 공중이용시설 또는 공중교통수단의 설계, 제조, 설치, 관리상의 결함으로 인해 발생한 재해를 말하며, 다음 어느 하나에 해당하는 결과를 야기한 재해를 의미합니다.
    *   사망자가 1명 이상 발생한 재해
    *   동일한 사고로 2개월 이상 치료가 필요한 부상자가 10명 이상 발생한 재해
    *   동일한 원인으로 3개월 이상 치료가 필요한 질병자가 10명 이상 발생한 재해
저희 하이에어코리아 안전보건팀은 근로자분들의 안전을 최우선으로 생각하며, 중대재해처벌법의 취지에 따라 모든 작업 현장에서 안전보건 확보 의무를 철저히 이행하고 있습니다. 이는 근로자 여러분이 안전하게 작업하고 건강하게 가정으로 돌아가실 수 있도록 하기 위함입니다.
항상 안전 수칙을 준수하시고, 위험 요소를 발견하시면 즉시 안전보건팀에 알려주시기 바랍니다. 감사합니다.</t>
  </si>
  <si>
    <t>안녕하세요! 하이에어코리아 안전보건팀 AI 챗봇입니다. 관리감독자님의 법적 직무와 업무 범위에 대해 자세히 설명해 드리겠습니다.
관리감독자님은 현장에서 근로자들의 안전과 보건을 직접 책임지는 중요한 역할을 수행하십니다. 단순히 지시만 하는 것이 아니라, 실질적으로 위험을 예방하고 안전한 작업 환경을 조성하는 데 핵심적인 역할을 하셔야 합니다.
관리감독자님의 법적 직무와 업무 범위는 다음과 같습니다.
1.  사업장 내 유해·위험 방지 업무 총괄:
    *   관리감독자님은 담당하는 작업과 관련된 유해·위험 요인을 파악하고, 이를 제거하거나 통제하기 위한 모든 조치를 총괄하셔야 합니다.
    *   예를 들어, 중량물 취급 작업 시 낙하 위험이 있다면, 달기기구의 정확한 체결 여부, 와이어로프의 손상 여부 등을 직접 확인하고, 신호수를 배치하여 작업자와 크레인 운전자 간의 명확한 소통 체계를 구축해야 합니다.
2.  안전·보건 점검 및 개선 조치:
    *   작업 전, 작업 중, 작업 후에 작업장의 안전 상태를 꾸준히 점검해야 합니다.
    *   점검 결과 발견된 위험 요소나 불안전한 행동에 대해서는 즉시 개선 조치를 지시하고, 그 이행 여부를 확인해야 합니다.
    *   예를 들어, LOTO(Lockout/Tagout) 작업 시 전원 차단이 제대로 되었는지, 잠금장치와 표지판이 정확하게 부착되었는지 확인하여 협착 사고를 예방해야 합니다. '설마 누가 켜겠어'라는 안일한 생각은 큰 사고로 이어질 수 있습니다.
3.  근로자 교육 및 지도:
    *   담당 근로자들에게 작업 안전 수칙, 위험 예방 방법, 보호구 착용의 중요성 등을 교육하고 지도해야 합니다.
    *   특히, 화학물질 취급 시에는 해당 물질의 유해성(MSDS 확인), 올바른 보호구(방독마스크, 보안경, 보호장갑 등) 착용 방법, 국소배기장치 사용의 중요성을 상세히 교육하여 급성 중독이나 직업병을 예방해야 합니다.
    *   밀폐공간 작업 시에는 산소결핍의 위험성(단 한 번의 호흡만으로도 정신을 잃을 수 있음)을 강조하고, 작업 전 산소 농도 측정의 필수성을 교육해야 합니다.
4.  위험성 평가 참여 및 실행:
    *   사업장의 위험성 평가 활동에 적극적으로 참여하여 현장의 실질적인 위험 요인을 발굴하고 평가하는 데 기여해야 합니다.
    *   평가 결과에 따라 도출된 개선 대책을 현장에 적용하고, 그 효과를 지속적으로 확인해야 합니다.
5.  산업재해 발생 시 조치 및 보고:
    *   산업재해가 발생하면 즉시 필요한 응급조치를 취하고, 추가적인 재해 확산을 방지해야 합니다.
    *   사고 발생 경위와 원인을 파악하여 안전보건팀에 신속하게 보고하고, 재발 방지 대책 수립에 협조해야 합니다.
6.  안전보건관리책임자 보좌:
    *   안전보건관리책임자(본사: 서민수, 이정환 / 창녕: 이호성)의 지시를 받아 안전보건 업무를 수행하고, 현장의 안전보건 상황을 보고해야 합니다.
관리감독자님의 이러한 직무는 단순히 규정을 지키는 것을 넘어, 근로자들의 생명과 건강을 보호하는 가장 중요한 역할임을 항상 기억해 주시기 바랍니다. 궁금한 점이 있으시면 언제든지 다시 문의해 주십시오.</t>
  </si>
  <si>
    <t xml:space="preserve">✅ [시스템] 최신 규정집 반영 완료!
📂 현재 학습된 파일 목록
📄 문서 (구글독스):
- 소방시설 설치 및 관리에 관한 법률(260324)
- 소음ㆍ진동관리법(251001)
- 승강기 안전관리법(240130)
- 액화석유가스의 안전관리 및 사업법(251001)
- 원자력안전법(250121)
- 전기안전관리법(250131)
- 위험물안전관리법(240206)
- 중대재해 처벌 등에 관한 법률(210126)
- 화재의 예방 및 안전관리에 관한 법률(260227)
- 화학물질관리법(251001)
- 감염병의 예방 및 관리에 관한 법률(251001)
- 고압가스 안전관리법(260310)
- 산업재해보상보험법(251111)
- 산업안전보건기준에 관한 규칙(20260302)
- 산업안전보건법(251001)
- 핵심정보
</t>
  </si>
  <si>
    <t>설명</t>
  </si>
  <si>
    <t>신정</t>
  </si>
  <si>
    <t>설날</t>
  </si>
  <si>
    <t>안녕하세요, 하이에어코리아 안전보건팀 AI 챗봇입니다.
특별안전보건교육은 특정 위험 작업에 종사하는 근로자들의 안전을 확보하기 위해 반드시 이수해야 하는 교육입니다. 이 교육은 일반적인 안전 교육으로는 다루기 어려운 특수한 위험 요인과 그에 대한 예방 조치를 상세히 다루기 때문에 매우 중요합니다.
저희 하이에어코리아와 같은 조선 기자재 제조업 현장에서는 다양한 위험 작업이 이루어지므로, 근로자 여러분의 안전을 위해 특별안전보건교육 대상 작업과 이수 시간을 정확히 알고 준수하는 것이 중요합니다.
---
특별안전보건교육 대상 작업 및 이수 시간
특별안전보건교육의 대상 작업은 매우 다양하며, 각 작업의 위험도에 따라 교육 이수 시간이 달라집니다. 주요 대상 작업과 이수 시간은 다음과 같습니다.
1. 밀폐공간 작업
   - 대상 작업: 산소 결핍이나 유해가스로 인한 질식 위험이 있는 탱크, 맨홀, 덕트, 피트 등 밀폐된 공간에서의 작업
   - 이수 시간: 16시간 이상
   - 왜 중요한가: 밀폐공간은 단 한 번의 호흡만으로도 정신을 잃을 수 있는 치명적인 위험을 안고 있습니다. 산소 농도 부족이나 유해가스 중독은 순식간에 발생하며, 구조 작업 또한 매우 어렵습니다. 교육을 통해 작업 전 산소 및 유해가스 농도 측정의 필수성, 환기 방법, 비상시 대피 및 구조 절차를 숙지하여 생명을 보호해야 합니다.
2. 고소 작업 (높이 2미터 이상)
   - 대상 작업: 비계, 이동식 비계, 고소작업대 등을 이용한 2미터 이상의 높은 곳에서의 작업
   - 이수 시간: 8시간 이상
   - 왜 중요한가: 고소 작업은 추락 사고의 위험이 항상 존재합니다. 추락은 사망 또는 심각한 부상으로 이어질 수 있습니다. 교육을 통해 안전대 착용 및 체결 방법, 작업 발판의 설치 기준 및 점검, 안전 난간 설치, 개구부 방호 조치 등 추락 방지 대책을 철저히 익혀야 합니다.
3. 크레인, 이동식 크레인, 리프트 등 양중기 작업
   - 대상 작업: 크레인, 이동식 크레인, 리프트, 곤돌라 등 중량물 취급 장비를 운전하거나 신호하는 작업
   - 이수 시간: 8시간 이상
   - 왜 중요한가: 중량물 취급 작업은 낙하, 전도, 협착 등 다양한 중대재해로 이어질 수 있습니다. 특히 달기기구의 결함이나 잘못된 신호는 치명적인 사고를 유발합니다. 교육을 통해 달기기구(와이어로프, 샤클 등)의 사용 전 점검 방법, 정확한 수신호 방법, 하중 초과 금지, 작업 반경 내 근로자 통제 등 안전 수칙을 철저히 지켜야 합니다.
4. 전기 작업 (활선 작업, 고압선 작업 등)
   - 대상 작업: 전기 설비의 설치, 수리, 점검 등 감전 위험이 있는 전기 작업
   - 이수 시간: 8시간 이상
   - 왜 중요한가: 전기는 우리 눈에 보이지 않지만, 감전은 심장 마비, 화상 등 치명적인 결과를 초래할 수 있습니다. 교육을 통해 작업 전 전원 차단 및 잔류 전하 확인(LOTO), 절연용 보호구(절연장갑, 절연화 등) 착용, 접지 확인, 활선 작업 시 안전 거리 유지 등 감전 예방 조치를 숙지해야 합니다.
5. 화학물질 취급 작업
   - 대상 작업: 특정 유해물질(유기용제, 특정화학물질 등)을 제조, 취급, 운반하는 작업
   - 이수 시간: 8시간 이상
   - 왜 중요한가: 화학물질은 급성 중독, 피부 질환, 호흡기 질환, 암 등 다양한 직업병을 유발할 수 있습니다. 특히 밀폐된 공간에서의 유기용제 취급은 질식 및 폭발 위험까지 동반합니다. 교육을 통해 물질안전보건자료(MSDS) 확인, 적절한 개인 보호구(방독마스크, 보안경, 보호장갑 등) 착용, 국소배기장치 작동 및 관리, 누출 시 응급조치 등을 익혀야 합니다.
6. 용접, 용단 작업
   - 대상 작업: 아크 용접, 가스 용접, 용단 등 화기 취급 작업
   - 이수 시간: 8시간 이상
   - 왜 중요한가: 용접, 용단 작업은 화재, 폭발, 유해가스 흡입, 아크 눈 손상 등 여러 위험이 따릅니다. 특히 인화성 물질 근처에서의 작업은 대형 화재로 이어질 수 있습니다. 교육을 통해 작업 전 화재 감시자 배치, 소화기 비치, 가연물 제거, 환기 조치, 보안면 및 보호복 착용 등 화재 및 유해 요인 예방 조치를 숙지해야 합니다.
7. 기타 위험 작업
   - 이 외에도 굴착 작업, 터널 작업, 잠함 작업, 방사선 취급 작업 등 다양한 위험 작업에 대해 특별안전보건교육이 요구됩니다. 각 작업의 특성에 따라 이수 시간과 교육 내용이 달라지므로, 작업 전 반드시 해당 작업의 안전 수칙과 교육 이수 여부를 확인해야 합니다.
---
안전보건팀의 당부 말씀
특별안전보건교육은 단순히 시간을 채우는 것이 아니라, 여러분 자신의 생명과 건강을 지키기 위한 필수적인 과정입니다. 교육 내용을 숙지하고 현장에서 철저히 실천하는 것이야말로 사고를 예방하는 가장 확실한 방법입니다.
작업 전에는 항상 안전 점검을 생활화하시고, 조금이라도 위험하다고 판단되는 상황에서는 즉시 작업을 중단하고 안전보건팀(본사: 서민수, 이정환 / 창녕: 이호성)에 문의해 주십시오.
저희 하이에어코리아 안전보건팀은 근로자 여러분의 안전을 최우선으로 생각하며, 언제든지 여러분의 안전을 위한 지원을 아끼지 않겠습니다. 감사합니다.</t>
  </si>
  <si>
    <t>대체공휴일</t>
  </si>
  <si>
    <t>삼일절</t>
  </si>
  <si>
    <t>국회의원선거</t>
  </si>
  <si>
    <t>어린이날</t>
  </si>
  <si>
    <t>부처님오신날</t>
  </si>
  <si>
    <t>현충일</t>
  </si>
  <si>
    <t>광복절</t>
  </si>
  <si>
    <t>안녕하세요! 하이에어코리아 안전보건팀 AI 챗봇입니다. 소방안전관리자 선임 및 법적 신고 절차에 대해 자세히 설명해 드리겠습니다. 화재는 한순간에 큰 피해를 줄 수 있으므로, 유능한 소방안전관리자를 선임하고 관련 절차를 정확히 지키는 것이 매우 중요합니다.
---
1. 소방안전관리자 선임 기한
소방안전관리대상물의 관계인은 다음 각 호의 구분에 따라 해당 호에서 정하는 날부터 30일 이내에 소방안전관리자를 선임해야 합니다.
*   신축, 증축, 개축, 재축, 대수선 또는 용도변경으로 소방안전관리자를 새로 선임해야 하는 경우: 해당 특정소방대상물의 사용승인일 (건축법에 따라 건축물을 사용할 수 있게 된 날)
*   증축 또는 용도변경으로 인해 특정소방대상물이 소방안전관리대상물이 되거나 소방안전관리 등급이 변경된 경우: 증축공사의 사용승인일 또는 용도변경 사실을 건축물관리대장에 기재한 날
*   특정소방대상물을 양수하거나 경매 등으로 권리를 취득한 경우: 해당 권리를 취득한 날 또는 관할 소방서장으로부터 소방안전관리자 선임 안내를 받은 날. 다만, 기존 소방안전관리자를 해임하지 않는 경우는 제외합니다.
*   관리의 권원이 분리되거나 소방본부장 또는 소방서장이 관리의 권원을 조정한 특정소방대상물의 경우: 관리의 권원이 분리되거나 조정된 날
*   소방안전관리자의 해임, 퇴직 등으로 업무가 종료된 경우: 소방안전관리자가 해임된 날, 퇴직한 날 등 근무를 종료한 날
*   소방안전관리 업무를 대행하는 자를 감독할 수 있는 사람을 소방안전관리자로 선임한 경우로서 그 업무대행 계약이 해지 또는 종료된 경우: 소방안전관리업무 대행이 끝난 날
*   소방안전관리자 자격이 정지 또는 취소된 경우: 소방안전관리자 자격이 정지 또는 취소된 날
만약 선임 기간 내에 소방안전관리자 자격시험이나 강습교육 일정이 없어 선임이 어려운 경우, 소방안전관리자 선임 연기를 신청할 수 있습니다. 이 경우, 소방안전관리자가 선임될 때까지 소방안전관리 업무를 직접 수행해야 합니다.
---
2. 소방안전관리자 선임 신고 절차
소방안전관리대상물의 관계인은 소방안전관리자를 선임한 날부터 14일 이내에 소방본부장 또는 소방서장에게 신고해야 합니다. 신고 절차는 다음과 같습니다.
1.  소방안전관리자 선임신고서 작성: 별지 제15호서식의 소방안전관리자 선임신고서(전자문서 포함)를 작성합니다.
2.  필요 서류 첨부: 다음 각 호의 서류(전자문서 포함) 중 해당되는 서류를 첨부해야 합니다.
    *   소방안전관리자 자격증
    *   소방안전관리대상물의 소방안전관리에 관한 업무를 감독할 수 있는 직위에 있는 사람임을 증명하는 서류 및 소방안전관리업무의 대행 계약서 사본 (소방안전관리업무를 대행하게 하는 경우만 해당)
    *   소방안전관리자를 겸임할 수 있는 안전관리자로 선임된 사실을 증명할 수 있는 서류 또는 선임사항이 기록된 자격증(자격수첩 포함)
    *   계약서 또는 권원이 분리됨을 증명하는 관련 서류 (권원별 소방안전관리자를 선임한 경우만 해당)
3.  제출: 작성된 선임신고서와 첨부 서류를 소방본부장 또는 소방서장에게 제출합니다. 종합정보망을 이용하여 온라인으로도 선임신고를 할 수 있습니다.
4.  선임증 발급: 소방본부장 또는 소방서장은 신고를 받은 후 신고인에게 별지 제16호서식의 선임증을 발급합니다.
---
3. 소방안전관리자 해임 사실 확인
소방안전관리대상물의 관계인이 소방안전관리자를 해임한 경우에는 그 관계인 또는 해임된 소방안전관리자는 소방본부장이나 소방서장에게 그 사실을 알려 해임한 사실의 확인을 받을 수 있습니다.
---
4. 건설현장 소방안전관리자 선임 및 신고
화재 발생 및 화재 피해의 우려가 큰 건설현장 소방안전관리대상물(신축, 증축, 개축, 재축, 이전, 용도변경 또는 대수선을 하려는 부분의 연면적 합계가 1만5천제곱미터 이상인 것 등)의 공사시공자는 소방시설공사 착공 신고일부터 건축물 사용승인일까지 소방안전관리자를 선임하고 신고해야 합니다.
*   선임 기한: 소방시설공사 착공 신고일부터 건축물 사용승인일까지
*   신고 기한: 선임한 날부터 14일 이내
*   필요 서류:
    *   건설현장 소방안전관리자 선임신고서 (별지 제19호서식)
    *   소방안전관리자 자격증
    *   건설현장 소방안전관리자 강습교육 수료증
    *   건설현장 소방안전관리대상물의 공사 계약서 사본
---
5. 소방안전관리자 교육 의무
소방안전관리자가 되려는 사람 또는 소방안전관리자로 선임된 사람은 소방안전관리 업무에 관한 능력 향상을 위해 소방청장이 실시하는 강습교육 또는 실무교육을 받아야 합니다.
*   강습교육: 소방안전관리자 자격을 인정받으려는 사람이 받는 교육입니다.
*   실무교육:
    *   소방안전관리자로 선임된 날부터 6개월 이내에 받아야 합니다.
    *   그 이후에는 2년마다 1회 이상 실무교육을 받아야 합니다. (최초 실무교육을 받은 날을 기준일로 하여 매 2년이 되는 해의 기준일과 같은 날 전까지)
    *   소방안전관리 강습교육 또는 실무교육을 받은 후 1년 이내에 소방안전관리자로 선임된 사람은 해당 교육 수료일을 실무교육을 받은 날로 봅니다.
교육을 받지 않으면 소방안전관리자 자격이 정지될 수 있으니, 반드시 기한 내에 교육을 이수해 주시기 바랍니다.
---
소방안전관리자는 우리 사업장의 안전을 지키는 중요한 역할을 수행합니다. 화재는 예고 없이 찾아오며, 초기 대응이 미흡할 경우 돌이킬 수 없는 인명 및 재산 피해로 이어질 수 있습니다. 따라서 자격 있는 소방안전관리자를 적시에 선임하고, 관련 법적 절차를 철저히 준수하여 화재 예방에 만전을 기해주시길 당부드립니다.
궁금한 점이 있으시면 언제든지 다시 문의해 주십시오.</t>
  </si>
  <si>
    <t>추석</t>
  </si>
  <si>
    <t>개천절</t>
  </si>
  <si>
    <t>한글날</t>
  </si>
  <si>
    <t>성탄절</t>
  </si>
  <si>
    <t>안녕하세요! 하이에어코리아 안전보건팀 AI 챗봇입니다. MSDS 교육 실시 및 기록 보존 기간에 대해 문의 주셨군요. 화학물질 취급 현장에서 MSDS 교육은 근로자의 건강과 안전을 지키는 가장 기본적인 예방 활동입니다. 교육을 통해 유해성을 정확히 인지하고 올바른 대응 방법을 숙지하는 것이 무엇보다 중요합니다.
---
1. MSDS 교육 실시 의무
사업주는 물질안전보건자료(MSDS) 대상 화학물질을 취급하는 근로자에게 MSDS에 대한 교육을 실시해야 합니다. 이 교육은 근로자가 해당 화학물질의 유해성과 위험성을 정확히 이해하고, 안전하게 작업할 수 있도록 돕는 필수적인 과정입니다.
교육 대상:
*   MSDS 대상 화학물질을 취급하는 모든 근로자
*   작업에 새롭게 투입되거나 작업 내용이 변경되어 새로운 화학물질을 취급하게 되는 근로자
교육 내용:
MSDS 교육은 다음 각 호의 사항을 포함해야 합니다.
1.  대상 화학물질의 명칭(제품명) 및 물리적 위험성, 건강 유해성: 어떤 화학물질인지, 만지거나 마시거나 흡입했을 때 어떤 위험이 있는지, 불이 나거나 폭발할 위험은 없는지 등을 상세히 알려주어야 합니다.
2.  안전 및 보건 조치 사항: 해당 화학물질을 안전하게 취급하기 위한 방법, 사고 발생 시 응급조치 요령, 적절한 보호구 착용 방법 등을 교육해야 합니다.
3.  응급조치 요령 및 사고 시 대처 방법: 화학물질에 노출되었을 때 즉시 취해야 할 조치, 화재나 누출 등 비상 상황 발생 시 행동 요령 등을 구체적으로 알려주어야 합니다.
4.  물질안전보건자료의 확인 방법: 근로자가 필요할 때 언제든지 MSDS를 찾아볼 수 있도록 비치 장소, 확인 방법 등을 안내해야 합니다.
---
2. MSDS 교육 기록 보존 의무
사업주는 MSDS 교육을 실시한 후, 그 교육 결과를 기록하고 보존해야 할 의무가 있습니다. 이는 교육의 이행 여부를 증명하고, 향후 발생할 수 있는 문제에 대비하기 위한 중요한 자료가 됩니다.
기록 보존 기간:
*   MSDS 교육 실시 기록은 5년간 보존해야 합니다.
기록 내용:
교육 기록에는 다음 각 호의 사항이 포함되어야 합니다.
1.  교육 일시: 교육을 실시한 날짜와 시간
2.  교육 장소: 교육이 진행된 장소
3.  교육 내용: 위에서 언급된 교육 내용(물리적 위험성, 건강 유해성, 안전 조치, 응급조치, MSDS 확인 방법 등)을 구체적으로 명시
4.  교육 참석자 명단: 교육에 참여한 근로자들의 이름과 서명
5.  교육 강사: 교육을 진행한 사람의 이름
---
3. MSDS 비치 및 게시 의무
MSDS 교육만큼 중요한 것이 바로 MSDS를 사업장 내에 비치하거나 게시하는 것입니다. 근로자들이 언제든지 쉽게 접근하여 필요한 정보를 확인할 수 있도록 해야 합니다.
*   비치 또는 게시 장소: 근로자들이 화학물질을 취급하는 작업장 내에 쉽게 볼 수 있는 장소에 비치하거나 게시해야 합니다.
*   언어: 외국인 근로자가 많은 사업장의 경우, 해당 근로자들이 이해할 수 있는 언어로 번역된 MSDS를 비치하는 것이 좋습니다.
---
4. MSDS 교육의 중요성
화학물질은 눈에 보이지 않는 위험을 가지고 있는 경우가 많습니다. 특히 조선 기자재 제조업 현장에서는 다양한 종류의 화학물질이 사용되므로, 화학물질의 유해성을 제대로 알지 못하면 급성 중독이나 화상, 피부염, 호흡기 질환 등 심각한 직업병으로 이어질 수 있습니다.
MSDS 교육은 단순히 법적 의무를 넘어, 근로자 스스로 자신의 안전과 건강을 지킬 수 있는 지식과 능력을 제공하는 핵심적인 수단입니다. 교육을 통해 근로자들은 다음과 같은 이점을 얻을 수 있습니다.
*   위험 인지 능력 향상: 어떤 화학물질이 어떤 위험을 가지고 있는지 정확히 알게 됩니다.
*   안전한 작업 습관 형성: 올바른 보호구 착용, 환기 장치 사용 등 안전 수칙을 준수하게 됩니다.
*   비상 상황 대처 능력 강화: 사고 발생 시 당황하지 않고 신속하고 정확하게 대응할 수 있게 됩니다.
우리 하이에어코리아는 근로자 여러분의 안전을 최우선으로 생각합니다. MSDS 교육에 적극적으로 참여하시고, 궁금한 점은 언제든지 안전보건팀에 문의해 주시기 바랍니다.</t>
  </si>
  <si>
    <t>안녕하세요! 하이에어코리아 안전보건팀 AI 챗봇입니다. 근골격계 부담작업 유해요인조사 주기에 대해 문의주셨네요. 근로자분들의 건강과 안전을 위해 매우 중요한 질문입니다.
근골격계 부담작업 유해요인조사는 3년마다 한 번씩 실시해야 합니다.
하지만 다음과 같은 경우에는 3년 주기와 관계없이 1개월 이내에 추가로 유해요인 조사를 실시해야 합니다.
*   근골격계 질환자가 발생했거나, 근로자가 근골격계 질환으로 업무상 질병 인정을 받은 경우
    *   다만, 해당 질환에 대해 최근 1년 이내에 유해요인 조사를 하고 작업환경 개선 조치를 완료했다면 다시 조사하지 않아도 됩니다.
*   근골격계 부담작업에 해당하는 새로운 작업이나 설비를 도입한 경우
*   근골격계 부담작업에 해당하는 업무의 양, 작업 공정 등 작업 환경을 변경한 경우
이러한 유해요인 조사를 할 때는 근로자분들의 의견을 듣고 설문조사를 하거나, 작업 자세 등을 인간공학적으로 평가하는 등 다양한 방법을 활용하여 정확하게 실시해야 합니다.
유해요인 조사를 통해 근골격계 질환 발생 우려가 있는 경우에는 인간공학적으로 설계된 보조설비나 편의설비를 설치하는 등 작업 환경을 개선하는 조치를 반드시 해야 합니다.
궁금한 점이 있으시면 언제든지 다시 문의해주세요. 근로자분들의 안전을 위해 최선을 다하겠습니다.</t>
  </si>
  <si>
    <t>노동절</t>
  </si>
  <si>
    <t>중대재해 처벌법이란?</t>
  </si>
  <si>
    <t>지방 선거</t>
  </si>
  <si>
    <t>안녕하세요. 하이에어코리아 안전보건팀 AI 챗봇입니다.
중대재해 처벌법은 사업 또는 사업장, 공중이용시설 및 공중교통수단을 운영하거나 인체에 해로운 원료나 제조물을 취급하면서 안전·보건 조치의무를 위반하여 인명피해를 발생하게 한 사업주, 경영책임자, 공무원 및 법인의 처벌 등을 규정함으로써 중대재해를 예방하고 시민과 종사자의 생명과 신체를 보호함을 목적으로 하는 법률입니다.
이 법은 크게 중대산업재해와 중대시민재해를 다루며, 각 재해의 정의와 발생 시 사업주 및 경영책임자등의 의무를 명확히 하고 있습니다.
1. 중대재해의 정의
중대재해는 다음과 같이 구분됩니다.
*   중대산업재해: 산업재해 중 다음 각 목의 어느 하나에 해당하는 결과를 야기한 재해를 말합니다.
    *   사망자가 1명 이상 발생
    *   동일한 사고로 6개월 이상 치료가 필요한 부상자가 2명 이상 발생
    *   동일한 유해요인으로 급성중독 등 직업성 질병자가 1년 이내에 3명 이상 발생
*   중대시민재해: 특정 원료 또는 제조물, 공중이용시설 또는 공중교통수단의 설계, 제조, 설치, 관리상의 결함을 원인으로 하여 발생한 재해로서 다음 각 목의 어느 하나에 해당하는 결과를 야기한 재해를 말합니다. (단, 중대산업재해에 해당하는 재해는 제외합니다.)
    *   사망자가 1명 이상 발생
    *   동일한 사고로 2개월 이상 치료가 필요한 부상자가 10명 이상 발생
    *   동일한 원인으로 3개월 이상 치료가 필요한 질병자가 10명 이상 발생
2. 사업주와 경영책임자등의 안전 및 보건 확보 의무
사업주 또는 경영책임자등은 종사자의 안전·보건상 유해 또는 위험을 방지하기 위해 다음 각 호에 따른 조치를 해야 합니다.
*   재해예방에 필요한 인력 및 예산 등 안전보건관리체계의 구축 및 그 이행에 관한 조치
*   재해 발생 시 재발방지 대책의 수립 및 그 이행에 관한 조치
*   중앙행정기관·지방자치단체가 관계 법령에 따라 개선, 시정 등을 명한 사항의 이행에 관한 조치
*   안전·보건 관계 법령에 따른 의무이행에 필요한 관리상의 조치
특히, 안전보건관리체계 구축 및 이행 조치에는 다음과 같은 구체적인 사항들이 포함됩니다.
*   사업 또는 사업장의 안전·보건에 관한 목표와 경영방침 설정
*   일정 규모 이상의 사업장에는 안전·보건에 관한 업무를 총괄·관리하는 전담 조직 설치
*   사업 또는 사업장의 특성에 따른 유해·위험요인을 확인하고 개선하는 업무절차 마련 및 반기 1회 이상 점검
*   재해 예방을 위해 필요한 안전·보건에 관한 인력, 시설 및 장비의 구비, 유해·위험요인 개선 등에 필요한 예산 편성 및 집행
*   안전보건관리책임자, 관리감독자 등이 업무를 충실히 수행할 수 있도록 권한과 예산 부여 및 반기 1회 이상 평가·관리
*   법에서 정한 수 이상의 안전관리자, 보건관리자, 안전보건관리담당자 및 산업보건의 배치
*   사업 또는 사업장의 안전·보건에 관한 사항에 대해 종사자의 의견을 듣는 절차 마련 및 반기 1회 이상 점검
*   중대산업재해가 발생하거나 발생할 급박한 위험이 있을 경우를 대비하여 작업 중지, 근로자 대피, 위험요인 제거 등 대응조치에 관한 매뉴얼 마련 및 반기 1회 이상 점검
*   제3자에게 업무를 도급, 용역, 위탁하는 경우 종사자의 안전·보건을 확보하기 위한 기준과 절차 마련 및 반기 1회 이상 점검
3. 중대재해 발생 시 처벌
중대재해 처벌법은 사업주 또는 경영책임자등이 안전 및 보건 확보 의무를 위반하여 중대재해에 이르게 한 경우 다음과 같이 처벌합니다.
*   사망자가 1명 이상 발생한 중대산업재해: 1년 이상의 징역 또는 10억원 이하의 벌금 (징역과 벌금 병과 가능)
*   6개월 이상 치료가 필요한 부상자가 2명 이상 발생하거나, 직업성 질병자가 1년 이내에 3명 이상 발생한 중대산업재해: 7년 이하의 징역 또는 1억원 이하의 벌금
또한, 법인 또는 기관의 경영책임자등이 위반행위를 하면 그 행위자를 벌하는 외에 법인 또는 기관에도 벌금형을 과합니다.
저희 하이에어코리아 안전보건팀은 근로자 여러분의 안전을 최우선으로 생각하며, 중대재해 예방을 위해 최선을 다하고 있습니다. 궁금한 점이 있으시면 언제든지 문의해 주십시오.</t>
  </si>
  <si>
    <t>제헌절</t>
  </si>
  <si>
    <t>사다리 안전 수칙</t>
  </si>
  <si>
    <t>안녕하세요. 하이에어코리아 안전보건팀 AI 챗봇입니다.
사다리 작업은 현장에서 자주 이루어지지만, 추락 사고의 위험이 매우 높은 작업 중 하나입니다. 사다리 작업 시에는 항상 안전 수칙을 철저히 지켜야 합니다. 특히, 이동식 사다리를 사용할 때는 더욱 주의가 필요합니다.
다음은 사다리 작업 시 반드시 지켜야 할 안전 수칙입니다.
---
1. 사다리 설치 전 확인 사항
*   평탄하고 견고하며 미끄럽지 않은 바닥에 사다리를 설치해야 합니다. 울퉁불퉁하거나 경사진 곳, 물기가 있는 곳에서는 절대 사용하지 마십시오.
*   사다리를 설치할 때는 넘어짐을 방지하기 위한 조치를 반드시 해야 합니다.
    *   사다리를 견고한 시설물에 연결하여 고정하십시오.
    *   아웃트리거(outrigger, 전도방지용 지지대)를 설치하거나, 아웃트리거가 부착된 사다리를 사용하십시오.
    *   다른 근로자가 사다리를 지지하여 넘어지지 않도록 하십시오.
*   사다리의 제조사가 정한 최대 사용 하중을 초과하여 사용하지 마십시오. 사다리에 표시된 하중을 반드시 확인하고, 작업자와 공구의 무게를 고려하여 안전하게 사용해야 합니다.
*   사다리 사용 전에는 변형 및 이상 유무를 반드시 점검해야 합니다.
    *   발판이나 기둥에 심한 손상, 부식, 균열이 없는지 확인하십시오.
    *   접이식 사다리의 경우, 접히거나 펼쳐지지 않도록 철물 등으로 견고하게 고정되어 있는지 확인하십시오.
    *   미끄럼 방지 장치가 제대로 작동하는지 확인하십시오.
    *   이상이 발견되면 즉시 수리하거나 사용을 중지하고 필요한 조치를 취해야 합니다.
2. 사다리 작업 중 준수 사항
*   작업 높이는 바닥면에서 3.5미터 이하의 장소에서만 작업해야 합니다. 그 이상의 높이에서는 고소작업대 등 다른 안전한 장비를 사용해야 합니다.
*   사다리의 최상부 발판 및 그 하단 디딤대에는 올라서서 작업하지 마십시오. (단, 높이 1미터 이하의 사다리는 제외됩니다.) 항상 안정적인 자세를 유지할 수 있는 발판에서 작업해야 합니다.
*   안전모를 반드시 착용하십시오.
*   작업 높이가 2미터 이상인 경우에는 안전모와 함께 안전대를 착용하고, 안전대 부착설비에 안전대를 걸고 작업해야 합니다.
*   사다리 위에서 몸을 과도하게 뻗거나 균형을 잃을 수 있는 동작은 삼가십시오. 필요한 경우 사다리의 위치를 옮겨서 작업해야 합니다.
*   사다리 위에서 다른 물건을 들고 오르내리지 마십시오. 양손은 항상 사다리를 잡을 수 있도록 비워두고, 공구 등은 공구 주머니에 넣어 운반하십시오.
*   사다리 작업 중에는 다른 근로자가 사다리 주변에 접근하지 않도록 작업 구역을 확보하고 통제해야 합니다.
3. 사다리식 통로 설치 시 추가 수칙
현장에서 임시 통로로 사다리를 설치하는 경우, 다음 사항을 추가로 준수해야 합니다.
*   견고한 구조로 설치해야 합니다.
*   심한 손상, 부식 등이 없는 재료를 사용해야 합니다.
*   발판의 간격은 일정하게 유지해야 합니다.
*   발판과 벽과의 사이는 15센티미터 이상의 간격을 유지해야 합니다.
*   폭은 30센티미터 이상으로 해야 합니다.
*   사다리가 넘어지거나 미끄러지는 것을 방지하기 위한 조치를 해야 합니다.
*   사다리의 상단은 걸쳐놓은 지점으로부터 60센티미터 이상 올라가도록 해야 합니다.
*   사다리식 통로의 길이가 10미터 이상인 경우에는 5미터 이내마다 계단참을 설치해야 합니다.
*   사다리식 통로의 기울기는 75도 이하로 해야 합니다. (고정식 사다리식 통로는 90도 이하로 할 수 있으나, 높이 7미터 이상인 경우 등받이울 또는 개인용 추락 방지 시스템을 설치해야 합니다.)
*   접이식 사다리 기둥은 사용 시 접혀지거나 펼쳐지지 않도록 철물 등을 사용하여 견고하게 조치해야 합니다.
---
사다리 작업은 잠깐이라도 방심하면 큰 사고로 이어질 수 있습니다. 항상 안전 수칙을 숙지하고, '나 하나쯤이야' 하는 안일한 생각은 절대 금물입니다. 작업 전후 안전 점검을 생활화하여 안전한 작업 환경을 만들어 주시기를 당부드립니다.</t>
  </si>
  <si>
    <t>안녕하세요, 하이에어코리아 안전보건팀 AI 챗봇입니다.
산업용 로봇 작업 시 근로자의 안전을 확보하기 위한 안전울타리 설치 기준에 대해 문의 주셨습니다. 로봇의 예기치 못한 작동이나 오조작으로 인한 사고는 매우 위험하므로, 안전울타리 설치는 근로자의 생명을 보호하는 중요한 조치입니다.
산업용 로봇의 안전울타리 설치에 대한 기준은 다음과 같습니다.
- 높이 1.8미터 이상의 울타리 설치: 로봇의 운전으로 인해 근로자에게 발생할 수 있는 부상 등의 위험을 방지하기 위해 높이 1.8미터 이상의 울타리를 설치해야 합니다.
    - 다만, 로봇의 가동범위 등을 고려하여 높이로 인한 위험성이 없는 경우에는 높이를 그 이하로 조절할 수 있습니다.
- 감응형 방호장치 설치: 컨베이어 시스템 설치 등으로 울타리를 설치할 수 없는 일부 구간에 대해서는 안전매트 또는 광전자식 방호장치 등 감응형 방호장치를 설치해야 합니다.
    - 감응형 방호장치는 사람이 로봇의 작동 범위 내로 접근하면 자동으로 로봇의 작동을 멈추게 하여 사고를 예방하는 장치입니다.
- 안전기준 준수: 고용노동부장관이 해당 로봇의 안전기준이 한국산업표준 또는 국제적으로 통용되는 안전기준에 부합한다고 인정하는 경우에는 위의 조치를 하지 않을 수 있습니다. 이는 로봇 자체에 충분한 안전 기능이 내장되어 있음을 의미합니다.
왜 안전울타리가 중요할까요?
산업용 로봇은 정해진 프로그램에 따라 빠르고 반복적으로 움직입니다. 만약 근로자가 로봇의 작동 범위 내에 진입했을 때, 로봇이 예기치 않게 움직이거나 오작동을 일으키면 협착, 충돌 등의 심각한 사고로 이어질 수 있습니다. 과거에도 로봇의 작동 범위 내에서 작업하던 근로자가 로봇에 끼이거나 부딪혀 사망하는 안타까운 사고 사례들이 있었습니다.
안전울타리는 이러한 위험 구역을 물리적으로 분리하여 근로자가 로봇의 위험 범위에 접근하는 것을 원천적으로 차단하는 가장 기본적인 안전장치입니다.
작업 전 확인 사항:
로봇 작업 전에는 반드시 다음 사항을 확인해 주십시오.
1.  안전울타리 상태 점검: 울타리가 파손되거나 변형된 곳은 없는지, 고정 상태는 튼튼한지 확인하십시오.
2.  감응형 방호장치 작동 여부 확인: 안전매트나 광전자식 방호장치가 정상적으로 작동하는지 주기적으로 점검하십시오.
3.  작업 지침 숙지: 로봇의 조작 방법 및 순서, 작업 중 매니퓰레이터의 속도, 이상 발견 시 조치 방법 등 로봇 작업에 관한 지침을 반드시 숙지하고 따르십시오.
4.  작업 중 표시: 로봇의 기동 스위치 등에 '작업 중'이라는 표시를 부착하여 다른 근로자가 임의로 조작하지 못하도록 조치해야 합니다.
저희 하이에어코리아 안전보건팀은 근로자 여러분의 안전을 최우선으로 생각합니다. 궁금한 점이 있으시면 언제든지 다시 문의해 주십시오.</t>
  </si>
  <si>
    <t>지게차 규정 속도는?</t>
  </si>
  <si>
    <t>하이에어코리아 안전보건팀 AI 챗봇입니다.
지게차 운행 시 규정 속도에 대해 문의 주셨습니다. 안전한 작업 환경을 위해 지게차의 속도 준수는 매우 중요합니다.
현재 저희가 참고하는 규정집에는 지게차의 구체적인 규정 속도가 명시되어 있지는 않습니다. 하지만 이는 속도 제한이 없다는 의미가 아니라, 작업 환경과 상황에 따라 안전하게 운행해야 한다는 의미로 해석해야 합니다.
지게차 운행 시 사고를 예방하기 위해 다음 사항들을 반드시 지켜주시기 바랍니다.
- 안전 운행의 기본 원칙:
    - 과속 금지: 현장 내에서는 항상 안전 속도를 유지해야 합니다. 특히 코너를 돌거나 시야 확보가 어려운 구간에서는 더욱 속도를 줄여야 합니다.
    - 적재량 준수: 지게차의 허용하중을 초과하여 화물을 싣지 마십시오. 과도한 중량은 제동 거리를 늘리고 전복 위험을 높입니다.
    - 시야 확보: 운전자의 시야를 가리는 높이로 화물을 적재하지 마십시오. 필요한 경우 후진 경보기와 경광등을 활용하고, 후방 감지기를 설치하여 후방 시야를 확보해야 합니다.
    - 좌석 안전띠 착용: 앉아서 조작하는 지게차를 운전할 때는 반드시 좌석 안전띠를 착용하여 만일의 사고 시 운전자를 보호해야 합니다.
- 작업 전 점검 사항:
    - 전조등 및 후미등: 작업에 필요한 조명이 확보되지 않은 장소에서 지게차를 사용할 경우, 전조등과 후미등이 정상적으로 작동하는지 확인해야 합니다.
    - 헤드가드 및 백레스트: 운전자에게 화물 낙하 위험이 없는 경우를 제외하고는 헤드가드와 백레스트가 제대로 설치되어 있는지 확인해야 합니다. 이는 운전자를 보호하는 중요한 장치입니다.
    - 팔레트 및 스키드: 사용하는 팔레트나 스키드가 화물 중량에 충분한 강도를 가지고 있는지, 심한 손상이나 변형, 부식은 없는지 확인해야 합니다.
- 작업 중 주의 사항:
    - 주용도 외 사용 제한: 지게차는 화물의 적재, 하역 등 주된 용도로만 사용해야 합니다. 근로자가 위험해질 우려가 없는 경우를 제외하고는 다른 용도로 사용하지 마십시오.
    - 작업 지휘자 지정: 100킬로그램 이상의 화물을 싣거나 내리는 작업 시에는 작업 지휘자를 지정하여 작업 순서와 방법을 정하고 지휘하도록 해야 합니다.
    - 관계자 외 출입 금지: 해당 작업을 하는 장소에는 관계 근로자가 아닌 사람의 출입을 금지하여 사고를 예방해야 합니다.
    - 화물 낙하 위험 확인: 로프 풀기 작업이나 덮개 벗기기 작업은 적재함의 화물이 떨어질 위험이 없음을 확인한 후에 진행해야 합니다.
안전은 아무리 강조해도 지나치지 않습니다. 항상 안전 수칙을 준수하여 사고 없는 건강한 작업 환경을 만들어 주시기를 당부드립니다.</t>
  </si>
  <si>
    <t>지게차 관련 과태료 알려줘</t>
  </si>
  <si>
    <t>하이에어코리아 안전보건팀 AI 챗봇입니다.
지게차 관련 과태료에 대해 문의 주셨습니다. 지게차는 현장에서 매우 유용하지만, 안전 수칙을 지키지 않을 경우 심각한 사고로 이어질 수 있어 관련 규정을 철저히 준수해야 합니다.
저희가 참고하는 규정집에 따르면, 지게차와 관련하여 방호조치를 제대로 하지 않았을 경우 과태료가 부과될 수 있습니다. 특히, 지게차는 다음과 같은 방호장치를 갖추어야 합니다.
- 헤드 가드 (Head Guard)
- 백레스트 (Backrest)
- 전조등
- 후미등
- 안전벨트
만약 사업주가 이러한 방호조치를 하지 아니하고 지게차를 양도, 대여, 설치 또는 사용에 제공하거나 양도·대여의 목적으로 진열하는 경우, 또는 이러한 방호조치가 정상적인 기능을 발휘할 수 있도록 상시적으로 점검하고 정비하지 않는 경우 과태료가 부과될 수 있습니다.
또한, 방호조치를 해체하려는 경우 사업주의 허가를 받아야 하며, 해체 사유가 소멸되면 지체 없이 원상으로 회복시켜야 합니다. 방호조치의 기능이 상실된 것을 발견하면 즉시 사업주에게 신고해야 합니다. 이러한 절차를 지키지 않을 경우에도 문제가 될 수 있습니다.
과태료는 위반 행위의 종류와 정도에 따라 달라질 수 있으며, 안전보건 관리의 중요성을 다시 한번 상기시켜주는 부분입니다.
지게차 운행 시 반드시 지켜야 할 안전 수칙을 다시 한번 강조 드립니다.
1.  지정 운전자 외 운전 금지: 지게차는 지정된 운전자만 운전해야 하며, 지정 운전자의 성명과 연락처를 보기 쉬운 곳에 표시해야 합니다.
2.  허용하중 초과 금지: 지게차의 허용하중을 초과하여 화물을 적재하지 마십시오. 이는 지게차의 전복이나 화물 낙하의 주요 원인이 됩니다.
3.  전조등 및 후미등 설치: 작업을 안전하게 수행할 수 있는 충분한 조명이 확보된 장소를 제외하고는 전조등과 후미등이 없는 지게차를 사용해서는 안 됩니다.
4.  후진 경보기 및 경광등 설치: 지게차 작업 중 근로자와 충돌할 위험이 있는 경우에는 후진 경보기와 경광등을 설치하거나 후방 감지기를 설치하여 후방을 확인할 수 있는 조치를 해야 합니다.
5.  헤드가드 및 백레스트: 화물 낙하에 의해 운전자에게 위험을 미칠 우려가 없는 경우를 제외하고는 적합한 헤드가드와 백레스트를 갖추지 않은 지게차를 사용해서는 안 됩니다.
6.  좌석 안전띠 착용: 앉아서 조작하는 방식의 지게차를 운전하는 근로자는 반드시 좌석 안전띠를 착용해야 합니다.
7.  팔레트 및 스키드 점검: 하역운반작업에 사용하는 팔레트나 스키드는 충분한 강도를 가지고 심한 손상, 변형 또는 부식이 없는 것을 사용해야 합니다.
8.  작업 지휘자 배치: 단위 화물의 무게가 100킬로그램 이상인 화물을 싣거나 내리는 작업 시에는 작업 지휘자를 지정하여 작업 순서와 방법을 지휘하도록 해야 합니다.
9.  관계자 외 출입 금지: 해당 작업을 하는 장소에는 관계 근로자가 아닌 사람의 출입을 금지해야 합니다.
이러한 안전 수칙들을 철저히 준수하여 사고를 예방하고 안전한 작업 환경을 조성하는 것이 가장 중요합니다. 궁금한 점이 있으시면 언제든지 다시 문의해 주십시오.</t>
  </si>
  <si>
    <t>안녕하세요! 하이에어코리아 안전보건팀 AI 챗봇입니다. 고압가스 용기 보관실 설치 기준에 대해 문의 주셨네요. 근로자분들의 안전을 위해 고압가스 용기 보관은 매우 중요합니다. 관련 규정을 바탕으로 자세히 설명해 드리겠습니다.
고압가스 용기 보관실은 고압가스 수입업자의 등록 기준 중 하나로 명시되어 있습니다. 이는 고압가스를 안전하게 보관하고 관리하기 위한 필수적인 시설입니다.
고압가스 용기 보관실을 설치하고 관리하실 때에는 다음 사항들을 반드시 지켜주셔야 합니다.
- 고압가스 용기 보관실 보유: 고압가스 수입업을 하시려면 반드시 고압가스 용기 보관실을 보유해야 합니다. 이는 고압가스 안전관리의 기본 중 기본입니다.
- 시설 및 기술 기준 적합: 고압가스 수입업을 영위하는 데 필요한 시설 및 기술이 산업통상부령으로 정하는 기준에 적합해야 합니다. 이 기준은 고압가스의 종류, 저장량, 취급 방식 등에 따라 세부적으로 달라질 수 있으므로, 관련 규정을 꼼꼼히 확인하고 전문가의 도움을 받는 것이 좋습니다.
고압가스는 작은 부주의로도 폭발, 화재, 질식 등 심각한 사고로 이어질 수 있습니다. 특히 용기 보관실은 고압가스가 집중적으로 보관되는 장소이므로, 안전 기준을 철저히 준수하여 사고를 예방하는 것이 무엇보다 중요합니다.
만약 고압가스 용기 보관실 설치나 관리에 대해 더 궁금한 점이 있으시다면 언제든지 다시 문의해 주십시오. 근로자분들의 안전을 위해 최선을 다해 돕겠습니다.</t>
  </si>
  <si>
    <t>추석/개천절</t>
  </si>
  <si>
    <t>도급업체 합동점검에 대해 알려줘</t>
  </si>
  <si>
    <t>하이에어코리아 안전보건팀 AI 챗봇입니다. 도급업체 합동점검에 대해 문의주셨군요.
저희 하이에어코리아는 협력업체 직원분들의 안전까지도 매우 중요하게 생각하고 있습니다. 합동점검은 단순히 법적 의무를 넘어, 모든 근로자가 안전하게 일할 수 있는 환경을 함께 만들어나가기 위한 중요한 활동입니다.
합동점검은 주로 다음과 같은 사항들을 확인하고 개선하기 위해 진행됩니다.
1.  작업장 위험요인 확인 및 개선:
    *   협력업체 작업장에서 발생할 수 있는 모든 잠재적 위험요인을 함께 찾아내고 평가합니다. 예를 들어, 불안정한 작업 발판, 정리되지 않은 자재, 위험물질 보관 상태 등을 면밀히 살펴봅니다.
    *   발견된 위험요인에 대해서는 즉시 개선 조치를 논의하고 실행 계획을 수립합니다.
2.  안전수칙 준수 여부 확인:
    *   안전모, 안전화, 보안경 등 개인 보호구 착용 상태를 점검합니다. 보호구는 사고 발생 시 부상을 최소화하는 마지막 방어선이므로, 올바른 착용이 매우 중요합니다.
    *   고소 작업 시 안전대 착용, 밀폐공간 작업 시 환기 및 산소 농도 측정 등 각 작업별 안전수칙 준수 여부를 확인합니다. '설마 괜찮겠지' 하는 안일한 생각은 큰 사고로 이어질 수 있습니다.
3.  안전보건 교육 이행 확인:
    *   협력업체 근로자들이 안전보건 교육을 제대로 이수했는지 확인합니다. 교육은 위험을 인지하고 예방하는 가장 기본적인 단계입니다.
    *   특히, 새로 투입된 근로자나 작업 내용이 변경된 경우, 해당 작업에 대한 특별 안전 교육 이수 여부를 중점적으로 확인합니다.
4.  비상 상황 대비 체계 점검:
    *   화재 발생 시 소화기 위치 및 사용법 숙지, 비상 대피로 확보, 응급처치 장비 비치 등 비상 상황 발생 시 대응 체계를 함께 점검합니다.
    *   사고 발생 시 신속하게 대처하고 피해를 최소화하기 위한 훈련 및 절차를 확인합니다.
합동점검의 중요성:
*   사고 예방: 서로 다른 관점에서 작업장을 점검함으로써 미처 발견하지 못했던 위험요인을 찾아내고, 사고를 사전에 예방할 수 있습니다.
*   안전 문화 구축: 협력업체와 함께 안전에 대한 인식을 공유하고, 서로 협력하여 안전한 작업 환경을 만들어가는 문화를 조성하는 데 기여합니다.
*   책임감 강화: 점검을 통해 각자의 역할과 책임을 명확히 하고, 안전 관리의 주체로서 책임감을 높일 수 있습니다.
합동점검은 일회성 행사가 아니라, 지속적으로 이루어져야 하는 중요한 안전 활동입니다. 궁금한 점이 있으시면 언제든지 다시 문의해 주십시오.</t>
  </si>
  <si>
    <t>법적인 근거있찌않아? 도급사업합동점검</t>
  </si>
  <si>
    <t>하이에어코리아 안전보건팀 AI 챗봇입니다. 도급사업 합동점검의 법적 근거에 대해 문의주셨군요.
네, 맞습니다. 도급사업 합동점검은 단순히 권고사항이 아니라, 사업주가 반드시 이행해야 하는 중요한 의무입니다. 이는 모든 근로자가 안전하게 일할 권리를 보장하고, 산업재해를 예방하기 위한 국가적인 노력의 일환입니다.
사업주는 도급을 준 경우, 도급받은 사업주의 근로자들이 안전하게 작업할 수 있도록 여러 가지 조치를 취해야 합니다. 그중 하나가 바로 도급사업 합동 안전·보건 점검입니다.
이 점검을 통해 다음과 같은 사항들을 확인하고 관리하게 됩니다.
*   위험성 평가의 실행 및 공유: 도급받은 작업의 위험성을 함께 평가하고, 그 결과를 공유하여 모든 근로자가 위험 요인을 인지하고 대비할 수 있도록 합니다.
*   작업장 순회 점검: 도급받은 사업주의 근로자들이 작업하는 장소를 주기적으로 순회하며 안전 및 보건 상태를 점검합니다. 이는 작업 환경의 변화나 새로운 위험 요인 발생 여부를 파악하는 데 중요합니다.
*   안전보건 교육 지원: 도급받은 사업주의 근로자들에게 필요한 안전보건 교육이 제대로 이루어지고 있는지 확인하고, 필요시 교육을 지원합니다.
*   위험한 작업에 대한 통제: 특히 화재·폭발, 붕괴, 질식 등 위험성이 높은 작업에 대해서는 더욱 철저한 안전 조치가 이루어지도록 관리하고 통제합니다.
이러한 합동점검은 단순히 서류상의 절차를 넘어, 실질적으로 현장의 위험을 줄이고 근로자들의 생명과 건강을 보호하기 위한 핵심적인 활동입니다. '설마 사고 나겠어?'라는 안일한 생각은 큰 재앙으로 이어질 수 있음을 항상 명심해야 합니다.
저희 하이에어코리아는 협력업체와의 상생을 통해 모든 근로자가 안전하게 일할 수 있는 환경을 조성하기 위해 최선을 다하고 있습니다. 궁금한 점이 있으시면 언제든지 다시 문의해 주십시오.</t>
  </si>
  <si>
    <t>안녕하세요. 하이에어코리아 안전보건팀 AI 챗봇입니다.
가스 용기 역화방지기 설치에 대한 법적 의무 사항에 대해 문의 주셨습니다. 현장에서 가스 사용 시 역화방지기는 매우 중요한 안전장치입니다. 역화는 가스 불꽃이 역류하여 호스나 용기 내부로 들어가 폭발이나 화재를 일으킬 수 있는 심각한 사고로 이어질 수 있기 때문입니다.
현재 규정집에 따르면, 역화방지기 설치에 대한 직접적인 법령명이나 조항 번호는 명시되어 있지 않습니다. 하지만 고압가스 및 액화석유가스 관련 법규에서는 가스 안전을 확보하고 위해를 방지하기 위한 시설기준 및 기술기준을 준수하도록 하고 있습니다. 이는 안전한 가스 사용 환경을 조성하기 위한 포괄적인 의무로 해석될 수 있습니다.
따라서, 비록 특정 조항에 명시되어 있지 않더라도, 가스 사용 현장에서는 역화방지기를 반드시 설치하여야 합니다. 이는 근로자분들의 생명과 재산을 보호하기 위한 필수적인 안전 조치입니다.
역화방지기 설치 및 관리 시 다음 사항들을 꼭 지켜주세요.
*   적합한 역화방지기 선택: 사용하시는 가스의 종류(산소, 아세틸렌 등)와 압력에 맞는 인증된 역화방지기를 선택해야 합니다.
*   정확한 설치 위치: 역화방지기는 토치와 호스 사이에 설치하여 역화가 발생했을 때 가스 용기 쪽으로 불꽃이 넘어가지 않도록 해야 합니다.
*   정기적인 점검: 역화방지기도 소모품이므로 정기적으로 작동 상태를 점검하고, 손상되거나 기능이 저하되었다면 즉시 교체해야 합니다. 특히, 역화가 발생한 후에는 반드시 역화방지기를 점검하거나 교체해야 합니다.
*   호스 및 연결부 점검: 역화방지기 외에도 가스 호스의 손상 여부, 연결부의 누설 여부 등을 작업 전 항상 확인하여 가스 누출로 인한 위험을 예방해야 합니다.
안전은 아무리 강조해도 지나치지 않습니다. 작은 부주의가 큰 사고로 이어질 수 있으니, 항상 안전 수칙을 준수하시고 궁금한 점이 있으시면 언제든지 다시 문의해 주십시오.</t>
  </si>
  <si>
    <t>하이에어코리아 안전보건팀 AI 챗봇입니다.
작업장 통로 및 계단의 법적 조도 기준에 대해 문의 주셨습니다. 근로자분들의 안전한 통행을 위해 조도는 매우 중요한 요소입니다.
저희 규정집에 따르면, 근로자가 상시 작업하는 장소의 작업면 조도 기준은 다음과 같습니다.
*   초정밀작업: 750럭스(lux) 이상
*   정밀작업: 300럭스 이상
*   보통작업: 150럭스 이상
*   그 밖의 작업: 75럭스 이상
통로 및 계단은 일반적으로 '그 밖의 작업'에 해당하여 75럭스 이상의 조도를 유지해야 합니다.
왜 조도 기준을 지켜야 할까요?
조도가 낮으면 다음과 같은 위험이 발생할 수 있습니다.
*   넘어짐 사고: 어두운 곳에서는 바닥의 장애물이나 단차를 제대로 인지하기 어려워 넘어지거나 미끄러지는 사고가 발생할 수 있습니다. 특히 계단에서는 발을 헛디뎌 크게 다칠 위험이 커집니다.
*   충돌 사고: 통로가 어두우면 다른 근로자, 운반 장비, 자재 등과 충돌할 위험이 높아집니다.
*   비상 상황 시 대피 지연: 화재나 기타 비상 상황 발생 시 어두운 통로와 계단은 신속한 대피를 방해하여 더 큰 피해로 이어질 수 있습니다.
안전한 통로 및 계단 조도를 위한 조치사항:
1.  정기적인 조도 측정: 작업장 통로 및 계단의 조도를 정기적으로 측정하여 기준에 미달하지 않는지 확인해야 합니다.
2.  조명 설비 점검 및 유지보수: 조명 기구가 파손되거나 수명이 다한 경우 즉시 교체하고, 먼지가 쌓여 조도가 저하되지 않도록 주기적으로 청소해야 합니다.
3.  비상 조명 확보: 정전 등 비상 상황에 대비하여 비상 조명 설비를 갖추고 정상 작동 여부를 주기적으로 점검해야 합니다.
4.  명암 대비 최소화: 작업장 내에서 밝은 곳과 어두운 곳의 명암 차이가 너무 심하면 눈의 피로를 유발하고 시야 적응에 어려움을 겪을 수 있으므로, 전체적인 조도 균형을 맞추는 것이 중요합니다.
근로자분들의 안전을 위해 통로와 계단의 조도 관리에 각별히 신경 써 주시기를 당부드립니다. 궁금한 점이 있으시면 언제든지 다시 문의해 주십시오.</t>
  </si>
  <si>
    <t>하이에어코리아 안전보건팀 AI 챗봇입니다. 위험성평가는 근로자분들의 안전을 지키는 데 매우 중요한 절차입니다. 위험성평가의 실시 주기와 법적 절차에 대해 자세히 설명해 드리겠습니다.
---
위험성평가 실시 주기 및 법적 절차
위험성평가는 사업장 내 유해·위험 요인을 사전에 파악하고 개선하여 사고를 예방하는 핵심적인 활동입니다. 단순히 서류 작업이 아니라, 실제로 현장의 위험을 줄이고 근로자분들의 안전을 확보하기 위한 실질적인 과정이라는 점을 꼭 기억해 주십시오.
1. 위험성평가 실시 주기
위험성평가는 정기적으로 실시해야 하며, 특정 상황 발생 시에는 수시로 실시해야 합니다.
*   최초 평가: 사업장 설립 후 최초로 실시하는 평가입니다. 모든 유해·위험 요인을 포괄적으로 파악하고 평가해야 합니다.
*   정기 평가: 매년 1회 이상 정기적으로 실시해야 합니다. 이는 사업장의 변화 여부와 관계없이 주기적으로 위험 요인을 재검토하고 관리 상태를 확인하기 위함입니다.
*   수시 평가: 다음과 같은 상황이 발생했을 때는 즉시 수시 평가를 실시해야 합니다.
    *   사업장 건설물의 설치, 이전, 변경 또는 해체
    *   기계·기구, 설비, 원재료 등의 신규 도입 또는 변경
    *   작업 방법 또는 작업 절차의 신규 도입 또는 변경
    *   중대산업사고 또는 산업재해 발생 (동종 재해 재발 방지를 위해 원인을 분석하고 개선 대책을 마련해야 합니다.)
    *   그 밖에 사업주가 필요하다고 판단하는 경우
2. 위험성평가 법적 절차
위험성평가는 다음과 같은 절차에 따라 진행되어야 합니다. 이 절차를 철저히 지키는 것이 사고 예방의 첫걸음입니다.
1.  사전 준비:
    *   위험성평가를 효과적으로 수행하기 위한 평가 계획을 수립합니다.
    *   평가 대상 공정, 설비, 작업 등을 명확히 정하고, 평가에 필요한 정보(도면, 작업 표준서, 안전보건 자료 등)를 수집합니다.
2.  유해·위험 요인 파악:
    *   사업장 내 모든 건설물, 기계·기구·설비, 원재료, 가스, 증기, 분진, 근로자의 작업 행동 등 부상 및 질병으로 이어질 수 있는 모든 유해·위험 요인을 찾아냅니다.
    *   이 과정에서는 현장 근로자분들의 참여가 매우 중요합니다. 실제 작업을 수행하는 분들이 가장 위험을 잘 알고 있기 때문입니다. "이 작업에서 어떤 위험이 있을까요?", "어떤 점이 가장 불안하게 느껴지시나요?"와 같은 질문을 통해 현장의 목소리를 경청해야 합니다.
3.  위험성 결정:
    *   파악된 유해·위험 요인이 부상 또는 질병으로 이어질 가능성(빈도)과 그로 인한 중대성(강도)을 종합적으로 고려하여 위험성의 크기를 결정합니다.
    *   결정된 위험성의 크기가 허용 가능한 범위인지 평가합니다. 허용 불가능한 위험은 반드시 개선해야 합니다.
4.  위험성 감소 대책 수립 및 실행:
    *   위험성 결정 결과, 허용 불가능한 위험에 대해서는 위험성을 줄이기 위한 구체적인 대책을 수립합니다.
    *   대책 수립 시에는 다음의 우선순위를 고려해야 합니다.
        *   제거: 위험 자체를 없애는 것이 가장 좋습니다. (예: 유해물질 사용 중단)
        *   대체: 덜 위험한 것으로 바꾸는 것입니다. (예: 유해물질을 무해하거나 덜 유해한 물질로 대체)
        *   공학적 대책: 설비나 공정을 개선하여 위험을 줄이는 것입니다. (예: 국소배기장치 설치, 안전 덮개 설치)
        *   관리적 대책: 작업 절차 개선, 안전 수칙 마련, 교육 훈련 등을 통해 위험을 관리하는 것입니다. (예: 작업 허가제, 안전 작업 절차 준수)
        *   개인 보호구 지급: 위의 모든 대책으로도 위험을 완전히 제거하기 어려울 때 마지막으로 사용하는 방법입니다. (예: 안전모, 안전화, 보안경, 방진마스크 착용)
    *   수립된 대책은 즉시 현장에 적용하고 실행해야 합니다.
5.  기록 및 보존:
    *   위험성평가의 실시 내용과 결과, 그리고 조치 사항을 상세하게 기록하고 3년간 보존해야 합니다.
    *   기록해야 할 주요 내용은 다음과 같습니다.
        *   위험성평가 대상의 유해·위험 요인
        *   위험성 결정의 내용
        *   위험성 결정에 따른 조치의 내용
        *   그 밖에 위험성평가의 실시 내용을 확인하기 위해 필요한 사항
    *   이 기록은 향후 평가의 개선이나 사고 발생 시 원인 분석에 중요한 자료가 됩니다.
3. 위험성평가의 중요성 강조
위험성평가는 단순히 법적 의무를 넘어, 근로자 여러분의 생명과 건강을 지키는 가장 효과적인 수단입니다. "설마 사고가 나겠어?"라는 안일한 생각은 큰 사고로 이어질 수 있습니다.
*   사고 예방: 위험성평가를 통해 잠재된 위험을 미리 발견하고 제거함으로써 산업재해 발생을 근본적으로 예방할 수 있습니다.
*   작업 효율성 증대: 안전한 작업 환경은 근로자분들의 불안감을 해소하고 작업에 집중할 수 있도록 도와 생산성 향상에도 기여합니다.
*   법규 준수: 위험성평가는 사업주의 법적 의무이며, 이를 소홀히 할 경우 법적 제재를 받을 수 있습니다.
하이에어코리아 안전보건팀은 근로자 여러분의 안전을 최우선으로 생각하며, 위험성평가가 현장에서 실질적인 효과를 낼 수 있도록 적극적으로 지원하겠습니다. 궁금한 점이 있으시면 언제든지 안전보건팀에 문의해 주십시오.</t>
  </si>
  <si>
    <t>하이에어코리아 안전보건팀 AI 챗봇입니다.
MSDS(물질안전보건자료)는 근로자분들의 건강과 안전을 지키는 데 매우 중요한 정보이므로, 작업장 내에 쉽게 볼 수 있는 장소에 게시하거나 비치해야 합니다. 단순히 게시하는 것을 넘어, 물질안전보건자료 대상 물질을 취급하는 작업공정별로 관리 요령을 함께 게시해야 합니다.
게시해야 할 주요 항목은 다음과 같습니다.
1.  물질안전보건자료(MSDS) 자체:
    *   물질안전보건자료 대상 물질을 취급하는 작업공정이 있는 장소
    *   작업장 내 근로자가 가장 보기 쉬운 장소
    *   근로자가 작업 중 쉽게 접근할 수 있는 장소에 설치된 전산장비 (이 경우 고용노동부장관이 정하는 조치를 해야 합니다.)
2.  작업공정별 관리 요령:
    *   제품명
    *   건강 및 환경에 대한 유해성, 물리적 위험성
    *   안전 및 보건상의 취급주의 사항
    *   적절한 보호구
    *   응급조치 요령 및 사고 시 대처방법
이러한 정보들을 명확하게 게시하여 근로자분들이 유해 물질에 대한 위험성을 충분히 인지하고, 적절한 보호 조치를 취할 수 있도록 하는 것이 중요합니다. 만약 근로자가 물질안전보건자료의 게시를 요청하는 경우에는 즉시 게시해야 합니다.
화학물질 취급 시에는 급성 중독이나 직업병 예방을 위해 국소배기장치를 반드시 활용하고, 지급된 보호구를 올바르게 착용하는 것이 매우 중요합니다. '이 정도는 괜찮겠지' 하는 안일한 생각은 돌이킬 수 없는 건강상의 문제를 초래할 수 있으니, 항상 안전 수칙을 철저히 지켜주시기 바랍니다.</t>
  </si>
  <si>
    <t>주소</t>
  </si>
  <si>
    <t>타입</t>
  </si>
  <si>
    <t>로고</t>
  </si>
  <si>
    <t>71268e29-a0ed-43ed-94eb-ab4050209cbe</t>
  </si>
  <si>
    <t>TBM(AC)</t>
  </si>
  <si>
    <t>하이에어코리아 안전보건팀 AI 챗봇입니다.
산업안전보건법상 특별관리물질은 근로자에게 발암성, 생식세포 변이원성, 생식독성 등 중대한 건강장해를 일으킬 우려가 있는 물질로 지정되어 있습니다. 이러한 물질을 취급할 때는 근로자의 건강을 보호하기 위해 더욱 철저한 관리가 필요합니다.
특별관리물질 관리 지침은 다음과 같습니다.
1.  설비 설치 의무:
    *   특별관리물질을 취급하는 작업장에는 밀폐설비 또는 국소배기장치를 반드시 설치해야 합니다.
    *   일반 관리대상 유해물질의 경우 임시작업이나 단시간 작업 시 설비 설치 특례가 적용될 수 있지만, 특별관리물질은 예외 없이 밀폐설비나 국소배기장치를 설치해야 합니다. 이는 특별관리물질의 유해성이 매우 높기 때문에 어떠한 경우에도 노출을 최소화해야 하기 때문입니다.
2.  정보 고지 의무:
    *   사업주는 근로자가 특별관리물질을 취급하는 경우, 해당 물질이 특별관리물질이라는 사실과 함께 발암성, 생식세포 변이원성, 생식독성 물질 중 어느 것에 해당하는지에 대한 내용을 게시판 등을 통해 근로자에게 명확히 알려야 합니다.
    *   근로자가 자신이 다루는 물질의 위험성을 정확히 인지하고 스스로 안전에 유의할 수 있도록 하는 것이 중요합니다.
3.  취급 기록 작성 의무:
    *   특별관리물질을 취급하는 근로자에 대해서는 다음 각 호의 사항을 기록하고 관리해야 합니다.
        *   근로자의 이름
        *   특별관리물질의 명칭
        *   취급량
        *   작업내용
        *   작업 시 착용한 보호구
        *   누출, 오염, 흡입 등의 사고가 발생한 경우 피해 내용 및 조치 사항
    *   이러한 기록은 만약의 사고 발생 시 원인 분석 및 재발 방지 대책 수립에 중요한 자료가 되며, 근로자의 건강 상태를 추적 관리하는 데도 활용됩니다.
4.  사고 발생 시 대피 및 조치:
    *   특별관리물질을 취급하는 장소의 환기장치 고장으로 기능이 저하되거나 상실된 경우, 또는 작업장 내부가 특별관리물질에 의해 오염되거나 새는 경우에는 즉시 작업을 중지하고 근로자를 해당 장소에서 대피시켜야 합니다.
    *   사고로 인해 작업이 중지된 경우, 오염되거나 새어 나온 물질이 제거될 때까지 관계자가 아닌 사람의 출입을 금지하고, 그 내용을 보기 쉬운 장소에 게시해야 합니다. 다만, 안전한 방법에 따라 인명구조 또는 유해 방지에 관한 작업을 하는 경우에는 예외입니다.
    *   근로자는 사업주의 허락 없이 출입이 금지된 장소에 들어가서는 안 됩니다.
왜 이렇게 철저하게 관리해야 할까요?
특별관리물질은 단 한 번의 노출로도 심각한 건강 문제를 일으킬 수 있으며, 장기적으로는 암, 생식기능 이상, 유전적 변이 등 치명적인 직업병으로 이어질 수 있습니다. 따라서 이러한 물질에 대한 노출을 원천적으로 차단하고, 불가피하게 취급할 경우에는 최소한의 노출이 이루어지도록 모든 가능한 조치를 취해야 합니다.
작업 전에는 반드시 해당 물질의 물질안전보건자료(MSDS)를 확인하시고, 정해진 보호구(방독마스크, 보호장갑, 보호복 등)를 올바르게 착용하며, 국소배기장치가 제대로 작동하는지 확인하는 등 안전 수칙을 철저히 준수해 주시기 바랍니다.
궁금한 점이 있으시면 언제든지 다시 문의해 주십시오.</t>
  </si>
  <si>
    <t>https://script.google.com/macros/s/AKfycbwSv-W1V0Kb6PXZtqR1N_PqT54G7ALh6OpIdYryxxhfg-MFvbGLmHZSUbs4Ri7K2Y03/exec?page=tbm&amp;type=AC</t>
  </si>
  <si>
    <t>안녕하세요! 하이에어코리아 안전보건팀 AI 챗봇입니다. 중대재해 발생 시 즉시 보고 절차에 대해 상세히 설명해 드리겠습니다.
중대재해는 근로자의 생명과 안전에 직결되는 매우 심각한 사고이므로, 발생 시 신속하고 정확한 보고가 무엇보다 중요합니다. '설마 괜찮겠지' 하는 안일한 생각은 더 큰 문제로 이어질 수 있습니다.
중대재해가 발생하면 사업주는 다음 절차에 따라 즉시 보고해야 합니다.
1.  즉시 작업 중지 및 근로자 대피 조치:
    *   중대재해가 발생하면 즉시 해당 작업을 중지시키고, 추가적인 피해가 발생하지 않도록 모든 근로자를 안전한 장소로 대피시켜야 합니다.
    *   이는 현장 근로자들의 안전을 최우선으로 확보하기 위한 가장 기본적인 조치입니다.
2.  고용노동부장관에게 지체 없이 보고:
    *   사업주는 중대재해 발생 사실을 알게 된 경우, 지체 없이 사업장 소재지를 관할하는 지방고용노동관서의 장에게 보고해야 합니다.
    *   보고는 전화, 팩스 또는 그 밖의 적절한 방법으로 할 수 있습니다.
    *   천재지변 등 부득이한 사유로 즉시 보고가 어려운 경우에는 그 사유가 소멸된 후 지체 없이 보고해야 합니다.
3.  보고 내용:
    보고 시에는 다음 각 호의 사항을 포함하여야 합니다.
    *   발생 개요 및 피해 상황: 언제, 어디서, 어떤 사고가 발생했으며, 인명 피해는 어느 정도인지 구체적으로 설명해야 합니다.
    *   조치 및 전망: 현재까지 취한 조치와 앞으로의 계획, 그리고 재해 상황의 예상되는 전개 등을 보고해야 합니다.
    *   그 밖의 중요한 사항: 사고 원인에 대한 초기 판단, 현장 보존 상태 등 추가적으로 중요하다고 판단되는 모든 정보를 포함해야 합니다.
4.  현장 보존 및 원인 조사 협조:
    *   중대재해 발생 현장은 훼손되지 않도록 보존해야 합니다. 이는 고용노동부장관이 중대재해 원인 규명 및 재발 방지 대책 수립을 위해 현장 조사를 실시할 때 매우 중요한 자료가 되기 때문입니다.
    *   고용노동부장관의 원인 조사에 적극적으로 협조해야 하며, 안전보건 관련 서류 및 목격자 진술 등을 확보하여 제공해야 합니다.
왜 즉시 보고가 중요한가요?
중대재해 발생 시 즉시 보고는 다음과 같은 이유로 매우 중요합니다.
*   추가 재해 예방: 신속한 보고를 통해 고용노동부의 전문가들이 현장에 투입되어 추가적인 위험 요인을 파악하고, 필요한 경우 작업중지 명령 등의 조치를 취하여 더 큰 사고를 막을 수 있습니다.
*   정확한 원인 규명: 사고 발생 직후 현장이 보존된 상태에서 조사가 이루어져야 정확한 원인 규명이 가능하며, 이는 재발 방지 대책 수립의 핵심이 됩니다.
*   피해 확산 방지: 특히 화재, 폭발, 유해물질 누출 등은 주변으로 피해가 확산될 위험이 크므로, 즉시 보고를 통해 관계 기관의 신속한 대응을 유도하여 피해를 최소화할 수 있습니다.
저희 하이에어코리아 안전보건팀은 근로자 여러분의 안전을 최우선으로 생각합니다. 혹시라도 현장에서 위험 상황을 목격하시거나 중대재해가 발생하면, 주저하지 마시고 즉시 안전보건팀에 알려주시기 바랍니다.
*   본사 안전관리자: 서민수, 이정환
*   창녕공장 안전관리자: 이호성
언제든지 문의해 주십시오. 감사합니다.</t>
  </si>
  <si>
    <t>text</t>
  </si>
  <si>
    <t>60a09fb8-8dd5-4f63-b368-82136d4b86a4</t>
  </si>
  <si>
    <t>TBM(임펠러)</t>
  </si>
  <si>
    <t>https://script.google.com/macros/s/AKfycbwSv-W1V0Kb6PXZtqR1N_PqT54G7ALh6OpIdYryxxhfg-MFvbGLmHZSUbs4Ri7K2Y03/exec?page=tbm&amp;type=%EC%9E%84%ED%8E%A0%EB%9F%AC</t>
  </si>
  <si>
    <t>하이에어코리아 안전보건팀 AI 챗봇입니다.
산업안전보건법상 근로자에게는 다음과 같은 법적 준수 의무가 있습니다. 이는 근로자 본인의 안전뿐만 아니라 동료들의 안전, 그리고 사업장 전체의 안전을 지키기 위한 중요한 약속입니다.
근로자의 법적 준수 의무:
1.  사업주가 제공하는 안전보건 조치 준수:
    *   사업주가 제공하는 안전모, 안전화, 안전장갑 등 보호구를 올바르게 착용하고 사용해야 합니다. 예를 들어, 중량물 취급 작업 시 안전모를 착용하지 않으면 낙하물에 의해 심각한 부상을 입을 수 있습니다.
    *   작업 전 안전 점검 및 작업 절차를 반드시 확인하고 따라야 합니다. '이 정도는 괜찮겠지'라는 안일한 생각은 큰 사고로 이어질 수 있습니다.
    *   기계·기구 및 설비의 안전 수칙을 준수하고, 임의로 조작하거나 안전장치를 해제해서는 안 됩니다.
2.  안전보건교육 이수 및 준수:
    *   사업주가 실시하는 정기 안전보건교육, 채용 시 교육, 작업 내용 변경 시 교육, 특별 안전보건교육 등을 성실히 이수해야 합니다. 이러한 교육은 작업 현장의 위험 요소를 이해하고 예방하는 데 필수적인 지식을 제공합니다.
    *   교육에서 배운 내용을 실제 작업에 적용하여 안전하게 작업해야 합니다.
3.  건강진단 수진 및 의학적 조치 협조:
    *   사업주가 실시하는 일반건강진단, 특수건강진단, 배치전건강진단, 수시건강진단 등 각종 건강진단에 적극적으로 참여해야 합니다. 건강진단은 유해인자에 노출될 수 있는 근로자의 건강 상태를 조기에 파악하고 직업병을 예방하는 중요한 수단입니다.
    *   건강진단 결과에 따른 의학적 소견 및 사후관리에 필요한 조치에 적극 협조해야 합니다.
4.  위험 상황 발생 시 보고 및 조치 협조:
    *   작업 중 위험한 상황을 발견하거나 사고가 발생했을 경우 즉시 사업주나 관리감독자에게 보고해야 합니다. 작은 위험 신호라도 무시하면 대형 사고로 이어질 수 있습니다.
    *   사고 발생 시 응급조치 및 대피 등 비상 상황에 대한 지시에 따라 행동해야 합니다. 밀폐공간 작업 중 산소결핍이나 유해가스 중독이 의심될 경우, 즉시 외부 감시인에게 알리고 지시에 따라 대피해야 합니다.
5.  관리대상 유해물질 취급 시 주의사항 준수:
    *   관리대상 유해물질의 명칭, 물리적·화학적 특성, 인체에 미치는 영향, 취급상의 주의사항, 착용해야 할 보호구 및 착용 방법, 위급상황 시 대처 방법 및 응급조치 요령 등을 숙지하고 준수해야 합니다.
    *   피부 자극성 또는 부식성 관리대상 유해물질 취급 시에는 불침투성 보호복, 보호장갑, 보호장화 및 피부보호용 바르는 약품을 사용해야 합니다.
6.  밀폐공간 작업 시 안전 수칙 준수:
    *   밀폐공간 출입금지 표지가 있는 장소에는 사업주의 허락 없이 출입해서는 안 됩니다.
    *   밀폐공간 작업 시 지급된 공기호흡기 또는 송기마스크, 안전대, 구명밧줄 등의 보호구를 반드시 착용해야 합니다. 산소결핍은 단 한 번의 호흡만으로도 정신을 잃게 할 수 있으므로, 보호구 착용은 생명과 직결됩니다.
이러한 의무들을 성실히 준수함으로써 근로자 여러분의 안전과 건강을 지키고, 더 나아가 안전한 작업 환경을 만드는 데 기여할 수 있습니다. 궁금한 점이 있으시면 언제든지 다시 문의해 주십시오.</t>
  </si>
  <si>
    <t>하이에어코리아 안전보건팀 AI 챗봇입니다.
MSDS 교육 실시 및 기록의 법적 보존 기간에 대해 문의 주셨습니다.
화학물질을 취급하는 사업장에서는 근로자들의 안전을 위해 물질안전보건자료(MSDS) 교육을 주기적으로 실시하고 그 기록을 보존해야 합니다. 이는 근로자들이 화학물질의 유해성과 위험성을 정확히 인지하고 안전하게 작업할 수 있도록 돕기 위함입니다.
MSDS 교육 기록의 보존 기간은 5년입니다.
이 기록에는 다음 사항들이 포함되어야 합니다.
*   교육 일시 및 장소: 언제, 어디서 교육이 진행되었는지 명확히 기록해야 합니다.
*   교육 내용: 어떤 화학물질에 대한 정보, 유해성, 위험성, 취급 방법, 비상조치 요령 등을 교육했는지 상세히 기록해야 합니다.
*   교육 시간: 교육이 몇 시간 동안 진행되었는지 기록합니다.
*   교육 이수자 명단: 교육에 참여한 근로자들의 이름과 서명을 받아야 합니다.
*   교육 강사 정보: 교육을 진행한 강사의 소속, 성명 등을 기록합니다.
이러한 기록은 만약의 사고 발생 시 교육 이행 여부를 확인하고, 근로자들의 안전 교육 이력을 관리하는 중요한 자료가 됩니다. 따라서 정확하게 작성하고 5년간 잘 보존해 주시기를 당부드립니다.
궁금한 점이 있으시면 언제든지 다시 문의해 주십시오.</t>
  </si>
  <si>
    <t>b61c4131-59a3-4f4c-9b83-def0f89a20da</t>
  </si>
  <si>
    <t>TBM(기계반)</t>
  </si>
  <si>
    <t>https://script.google.com/macros/s/AKfycbyAUMb7GSC7TEF1kxz9OnqOxpeEWvr5mALuCQIQD5k/dev?page=tbm&amp;type=%EA%B8%B0%EA%B3%84%EB%B0%98</t>
  </si>
  <si>
    <t>하이에어코리아 안전보건팀 AI 챗봇입니다.
산업용 로봇 작업 시 근로자의 안전을 확보하기 위한 안전울타리 설치 기준에 대해 설명해 드리겠습니다.
로봇의 운전으로 인해 근로자에게 부상 등의 위험이 발생할 수 있으므로, 사업주는 높이 1.8미터 이상의 울타리를 설치해야 합니다.
다만, 로봇의 가동 범위 등을 고려하여 높이로 인한 위험성이 없는 경우에는 울타리 높이를 그 이하로 조절할 수 있습니다.
또한, 컨베이어 시스템 설치 등으로 인해 울타리를 설치하기 어려운 일부 구간에 대해서는 안전매트 또는 광전자식 방호장치 등 감응형 방호장치를 설치하여 위험을 방지해야 합니다.
이러한 조치는 로봇의 예기치 못한 작동이나 오작동으로 인한 사고를 예방하고, 근로자가 로봇의 작동 범위 내로 접근하여 다치는 것을 막기 위함입니다. 로봇은 사람의 움직임을 예측하기 어렵고, 빠른 속도로 작동하기 때문에 작은 부주의도 큰 사고로 이어질 수 있습니다. 따라서 안전울타리 설치는 로봇 작업 현장에서 근로자의 생명을 보호하는 가장 기본적인 안전 조치입니다.
작업 전에는 반드시 로봇의 작동 범위와 안전 조치 상태를 확인하시고, 울타리나 방호장치가 제대로 설치되어 있는지 점검해 주시기 바랍니다.</t>
  </si>
  <si>
    <t>태용산업</t>
  </si>
  <si>
    <t>하이에어코리아 안전보건팀 AI 챗봇입니다.
근로자 정기 안전보건교육의 법정 교육 시간에 대해 자세히 안내해 드리겠습니다.
근로자 정기 안전보건교육은 사업장의 업종과 상시 근로자 수에 따라 교육 시간이 달라집니다. 저희 하이에어코리아는 조선 기자재 제조업 현장이므로, 제조업 기준으로 설명해 드리겠습니다.
제조업의 경우, 근로자 정기 안전보건교육 시간은 다음과 같습니다.
*   사무직에 종사하는 근로자: 매 분기 3시간 이상
*   그 외 근로자 (현장직 등): 매 분기 6시간 이상
이 교육은 근로자들이 작업 중 발생할 수 있는 위험 요소를 인지하고, 안전하게 작업할 수 있도록 필요한 지식과 기술을 습득하게 하는 데 목적이 있습니다. 과거 사고 사례를 보면, 안전 수칙 미준수나 위험 인지 부족으로 인해 발생하는 사고가 많습니다. 정기적인 교육을 통해 이러한 사고를 예방하고, 근로자 스스로 안전 의식을 높이는 것이 매우 중요합니다.
교육 면제 조건도 일부 존재합니다.
*   전년도에 산업재해가 발생하지 않은 사업장의 경우, 다음 연도에 한정하여 근로자 정기교육 시간을 50% 범위에서 면제할 수 있습니다.
*   근로자가 근로자건강센터에서 실시하는 안전보건교육, 건강상담, 건강관리 프로그램 등 건강관리 활동에 참여한 경우, 해당 시간을 해당 반기(관리감독자의 경우 해당 연도)의 근로자 정기교육 시간에서 면제할 수 있습니다. 이 경우 사업주는 근로자가 건강관리 활동에 참여한 사실을 입증할 수 있는 서류를 갖춰 두어야 합니다.
*   특정 법령에 따른 유사한 안전보건교육을 이수한 경우에도 해당 교육 시간을 정기교육 시간에서 면제할 수 있습니다. 예를 들어, 원자력안전법에 따른 방사선작업종사자 정기교육, 항만안전특별법에 따른 정기안전교육, 화학물질관리법에 따른 유해화학물질 안전교육 등을 받은 경우입니다.
이러한 교육은 단순히 시간을 채우는 것을 넘어, 실제 작업 현장에서 안전하게 일하는 습관을 형성하고 위험 상황에 대처하는 능력을 키우는 데 필수적입니다. 교육 내용을 숙지하시고, 궁금한 점이 있다면 언제든지 안전보건팀에 문의해 주십시오.</t>
  </si>
  <si>
    <t>재경산업</t>
  </si>
  <si>
    <t>JT산업</t>
  </si>
  <si>
    <t>동우전기</t>
  </si>
  <si>
    <t>da889123-8081-4210-913e-a3e37fea8757</t>
  </si>
  <si>
    <t>납품팀(생산부)</t>
  </si>
  <si>
    <t>TBM(조립장)</t>
  </si>
  <si>
    <t>전성산업</t>
  </si>
  <si>
    <t>https://script.google.com/macros/s/AKfycbyAUMb7GSC7TEF1kxz9OnqOxpeEWvr5mALuCQIQD5k/dev?page=tbm&amp;type=%EC%A1%B0%EB%A6%BD%EC%9E%A5</t>
  </si>
  <si>
    <t>하이에어코리아 안전보건팀 AI 챗봇입니다. 소음 작업장에서의 근로자 건강 보호를 위해 소음 노출 기준과 관리 수칙에 대해 자세히 설명해 드리겠습니다.
소음은 근로자의 청력 손실뿐만 아니라 스트레스, 집중력 저하 등 다양한 건강 문제를 유발할 수 있으므로, 철저한 관리가 매우 중요합니다.
---
1. 소음 노출 기준
우리 회사에서는 근로자가 안전하게 작업할 수 있도록 다음과 같은 소음 노출 기준을 적용하고 있습니다.
*   1일 8시간 작업 기준: 90데시벨(dB) 이상의 소음에 노출되는 작업
*   강렬한 소음 작업: 1일 8시간 작업을 기준으로 90데시벨을 초과하는 1일 소음 노출량에 5데시벨을 더할 때마다 노출 시간을 절반으로 줄여야 합니다. 예를 들어, 95데시벨에서는 4시간, 100데시벨에서는 2시간 등으로 제한됩니다.
*   충격 소음 작업: 120데시벨을 초과하는 충격 소음이 1일에 1만 회 이상 발생하거나, 130데시벨을 초과하는 충격 소음이 1일에 1천 회 이상, 또는 140데시벨을 초과하는 충격 소음이 1일에 1백 회 이상 발생하는 작업은 특별히 관리해야 합니다.
이러한 기준을 초과하는 작업장에서는 반드시 적절한 소음 감소 조치와 보호구 착용이 이루어져야 합니다.
---
2. 소음 작업장 법적 관리 수칙
소음으로 인한 건강장해를 예방하기 위해 사업주와 근로자 모두 다음 사항을 철저히 준수해야 합니다.
가. 사업주의 소음 감소 및 관리 조치
1.  소음 감소 조치:
    *   기계ㆍ기구 대체: 소음이 적게 발생하는 장비나 공법으로 교체하는 것이 가장 효과적인 방법입니다.
    *   시설 밀폐ㆍ흡음 또는 격리: 소음 발생원을 완전히 덮거나(밀폐), 소리를 흡수하는 자재를 사용하거나(흡음), 소음 발생 장소와 작업 공간을 분리하여(격리) 소음이 퍼지는 것을 막아야 합니다.
    *   기술적ㆍ경제적 곤란 시: 만약 작업의 성질상 위와 같은 소음 감소 조치가 어렵다면, 관계 전문가의 의견을 받아 다른 적절한 조치를 강구해야 합니다.
2.  소음 수준 및 유해성 주지:
    *   근로자가 소음 작업에 종사하기 전에 해당 작업장의 소음 수준을 정확히 알려주어야 합니다.
    *   소음이 인체에 미치는 영향(예: 소음성 난청)과 증상에 대해 교육해야 합니다.
    *   청력보호구의 올바른 선정 및 착용 방법을 상세히 안내해야 합니다.
    *   그 외 소음으로 인한 건강장해 방지에 필요한 모든 정보를 제공해야 합니다.
3.  난청 발생 시 조치:
    *   만약 근로자에게 소음성 난청 등의 건강장해가 발생했거나 발생할 우려가 있다면, 즉시 해당 작업장의 소음성 난청 발생 원인을 조사해야 합니다.
    *   청력 손실을 감소시키고 재발을 방지하기 위한 대책을 마련하고, 그 이행 여부를 철저히 확인해야 합니다.
    *   필요시 의사의 소견에 따라 작업 전환 등의 조치를 취해야 합니다.
4.  청력보존 프로그램 시행:
    *   소음 작업, 강렬한 소음 작업 또는 충격 소음 작업에 근로자가 종사하는 사업장이나, 소음으로 인해 건강장해가 발생한 사업장에서는 청력보존 프로그램을 수립하여 시행해야 합니다.
    *   청력보존 프로그램에는 다음 내용이 포함되어야 합니다.
        *   소음 노출 평가: 정기적으로 작업장 소음 수준을 측정하고 평가합니다.
        *   소음 노출에 대한 공학적 대책: 소음 발생원을 제어하거나 작업 환경을 개선하는 기술적 방법을 모색합니다.
        *   청력보호구의 지급과 착용: 적절한 보호구를 지급하고 착용을 독려합니다.
        *   소음의 유해성 및 예방 관련 교육: 근로자에게 소음의 위험성과 예방 방법을 교육합니다.
        *   정기적 청력검사: 근로자의 청력 상태를 주기적으로 확인합니다.
        *   청력보존 프로그램 수립 및 시행 관련 기록ㆍ관리체계: 모든 과정을 기록하고 관리하는 체계를 갖춥니다.
        *   그 밖에 소음성 난청 예방ㆍ관리에 필요한 사항을 포함합니다.
나. 근로자의 청력보호구 착용 의무
1.  사업주가 지급한 청력보호구(귀마개, 귀덮개 등)는 반드시 착용해야 합니다.
2.  청력보호구는 개인 전용으로 지급되므로, 위생적으로 관리하고 다른 사람과 공유하지 않아야 합니다.
3.  지급된 보호구는 사업주의 지시에 따라 올바르게 착용해야 합니다. 보호구를 제대로 착용하지 않으면 보호 효과가 크게 떨어집니다.
---
3. 소음도 검사 및 관리
소음 발생 건설기계, 저소음 표시 가전제품, 휴대용 음향기기 등은 소음도 검사를 받아야 합니다.
*   소음도 검사 방법:
    *   측정 환경: 소음도 검사기관이 지정하는 장소에서 정확한 소음 측정이 보장되는 환경이어야 합니다.
    *   측정 조건: 풍속과 기후의 영향을 받지 않아야 하며, 측정 대상 기계는 가동 상태여야 합니다.
    *   측정 기기: 「산업표준화법」에 따른 한국산업표준(KS)을 지킨 소음 측정 기기를 사용해야 합니다.
    *   측정 자료 분석: 배경 소음, 환경 보정치 등을 고려하여 측정 자료를 분석하고 평가해야 합니다. 여러 대를 측정하는 경우 소음도가 가장 높은 기계의 측정 자료를 기준으로 합니다.
    *   기계별 가동 조건: 기계의 엔진 자체 소음 및 작업으로 인해 발생하는 모든 소음을 측정해야 합니다.
*   소음도 검사 기관: 지정된 소음도 검사기관에서 실시해야 합니다. 다만, 건설기계를 검사기관으로 옮기기 곤란한 경우에는 검사기관 관계자의 참여하에 제작 또는 수입하는 자가 정하는 장소에서 실시할 수 있습니다.
---
소음은 눈에 보이지 않지만, 우리 몸에 심각한 영향을 미 줄 수 있는 유해 요인입니다. 작업 현장에서 소음 노출 기준을 준수하고, 위에서 말씀드린 관리 수칙들을 철저히 이행하여 모든 근로자분들이 건강하게 작업할 수 있도록 함께 노력해 주시기를 바랍니다. 궁금한 점이 있으시면 언제든지 안전보건팀으로 문의해 주십시오.</t>
  </si>
  <si>
    <t>산공생산팀(생산부)</t>
  </si>
  <si>
    <t>선아산업</t>
  </si>
  <si>
    <t>장수산업</t>
  </si>
  <si>
    <t>대원공업</t>
  </si>
  <si>
    <t>하이에어코리아 안전보건팀 AI 챗봇입니다. 산업재해조사표 제출 기한과 법적 방법에 대해 자세히 안내해 드리겠습니다. 근로자분들의 안전을 위해 정확한 절차를 따르는 것이 매우 중요합니다.
---
산업재해조사표 제출 기한 및 법적 방법
산업재해조사표는 산업재해가 발생했을 때 그 원인을 명확히 하고 재발 방지 대책을 수립하기 위한 중요한 문서입니다. 정확한 기한 내에 올바른 방법으로 제출하는 것이 필수적입니다.
1. 제출 기한
사업주는 산업재해로 인해 사망자가 발생하거나 3일 이상의 휴업이 필요한 부상을 입거나 질병에 걸린 사람이 발생한 경우, 해당 산업재해가 발생한 날부터 1개월 이내에 산업재해조사표를 제출해야 합니다.
2. 제출 방법
산업재해조사표는 별지 제30호서식에 따라 작성하며, 다음의 방법으로 관할 지방고용노동관서의 장에게 제출해야 합니다.
*   전자문서 제출: 공단이 구축하여 운영하는 시스템을 통해 전자적으로 제출하는 것이 일반적입니다.
*   직접 또는 우편 제출: 전자문서 제출이 어려운 부득이한 사유가 있는 경우에는 전자적 기록매체에 수록하여 직접 방문하거나 우편으로 제출할 수 있습니다.
3. 근로자대표의 확인
사업주는 산업재해조사표에 근로자대표의 확인을 받아야 합니다. 만약 기재 내용에 대해 근로자대표의 이견이 있는 경우에는 그 내용을 첨부해야 합니다.
근로자대표가 없는 경우에는 재해자 본인의 확인을 받아 산업재해조사표를 제출할 수 있습니다.
4. 산업재해 기록 및 보존
사업주는 산업재해가 발생했을 때 다음 각 호의 사항을 기록하고 보존해야 합니다. 이는 산업재해조사표 제출과는 별개로 사업장 내에서 관리해야 하는 사항입니다.
*   사업장의 개요 및 근로자의 인적사항
*   재해 발생의 일시 및 장소
*   재해 발생의 원인 및 과정
*   재해 재발방지 계획
다만, 산업재해조사표 사본을 보존하거나, 요양신청서 사본에 재해 재발방지 계획을 첨부하여 보존한 경우에는 별도로 위 사항들을 기록하지 않아도 됩니다.
5. 사고 예방을 위한 중요성
산업재해조사표를 정확하게 작성하고 제출하는 것은 단순히 법적 의무를 이행하는 것을 넘어, 유사한 사고의 재발을 방지하고 근로자들의 안전을 확보하는 데 매우 중요한 역할을 합니다. 과거의 사고 사례를 분석하고 그 원인을 명확히 파악함으로써, 잠재적인 위험 요소를 제거하고 더 안전한 작업 환경을 조성할 수 있습니다.
만약 산업재해가 발생하면 당황하지 마시고, 위에 안내해 드린 절차에 따라 신속하고 정확하게 처리해 주시기를 바랍니다. 궁금한 점이 있으시면 언제든지 안전보건팀으로 문의해 주십시오.</t>
  </si>
  <si>
    <t>송현산업</t>
  </si>
  <si>
    <t>엠피벨레그</t>
  </si>
  <si>
    <t>바로</t>
  </si>
  <si>
    <t>대양산업</t>
  </si>
  <si>
    <t>하이에어코리아 안전보건팀 AI 챗봇입니다.
특수건강진단 결과 기록의 법적 보존 기간에 대해 문의 주셨습니다. 근로자의 건강과 직결되는 중요한 기록이므로 정확하게 보존하는 것이 매우 중요합니다.
특수건강진단 결과 기록은 5년간 보존해야 합니다. 다만, 고용노동부장관이 정하여 고시하는 특정 물질을 취급하는 근로자에 대한 건강진단 결과 서류 또는 전산입력 자료는 30년간 보존해야 합니다.
이러한 기록 보존은 단순히 법적 의무를 넘어, 근로자의 건강 상태 변화를 장기적으로 추적하고, 잠재적인 직업병 발생 시 원인을 규명하며, 적절한 사후 조치를 취하는 데 필수적인 자료가 됩니다. 과거의 건강 기록이 없으면 현재의 건강 문제와 작업 환경 간의 연관성을 파악하기 어려워 적절한 예방 및 치료가 늦어질 수 있습니다.
따라서 특수건강진단 결과 기록은 다음 사항을 유의하여 보존해 주십시오.
- 기본 보존 기간: 5년
- 특정 유해물질 관련 기록: 고용노동부장관이 고시하는 물질을 취급하는 근로자의 기록은 30년
- 보존 형태: 서류 또는 전산입력 자료 모두 가능합니다.
궁금한 점이 있으시면 언제든지 다시 문의해 주십시오.</t>
  </si>
  <si>
    <t>동창산업</t>
  </si>
  <si>
    <t>AC생산팀(생산부)</t>
  </si>
  <si>
    <t>남영기업</t>
  </si>
  <si>
    <t>유일테크</t>
  </si>
  <si>
    <t>하이에어코리아 안전보건팀 AI 챗봇입니다.
MSDS(물질안전보건자료)의 법적 게시 항목에 대해 문의 주셨습니다. MSDS는 유해하거나 위험한 화학물질을 취급하는 근로자들의 안전과 건강을 지키기 위한 매우 중요한 정보원입니다. 정확한 정보를 게시하여 근로자들이 쉽게 접근하고 이해할 수 있도록 하는 것이 핵심입니다.
MSDS를 게시하거나 갖추어 두어야 하는 장소는 다음과 같습니다.
*   물질안전보건자료대상물질을 취급하는 작업공정이 있는 장소
*   작업장 내 근로자가 가장 보기 쉬운 장소
*   근로자가 작업 중 쉽게 접근할 수 있는 장소에 설치된 전산장비 (이 경우 고용노동부장관이 정하는 조치를 해야 합니다.)
또한, 작업공정별로 물질안전보건자료대상물질의 관리 요령을 게시해야 합니다. 이 관리 요령에는 다음 각 호의 사항이 반드시 포함되어야 합니다.
1.  제품명: 어떤 물질인지 명확히 알 수 있도록 합니다.
2.  건강 및 환경에 대한 유해성, 물리적 위험성: 해당 물질이 인체나 환경에 어떤 해를 끼칠 수 있는지, 폭발이나 화재 등의 물리적 위험은 없는지 알려줍니다.
3.  안전 및 보건상의 취급주의 사항: 물질을 다룰 때 특별히 주의해야 할 점, 예를 들어 환기가 필요한지, 특정 온도에서 보관해야 하는지 등을 안내합니다.
4.  적절한 보호구: 물질 취급 시 반드시 착용해야 하는 마스크, 장갑, 보호복 등의 보호구 종류를 명시합니다.
5.  응급조치 요령 및 사고 시 대처방법: 만약 물질에 노출되거나 사고가 발생했을 때 어떻게 응급처치를 해야 하는지, 그리고 어떤 방식으로 대처해야 하는지 구체적으로 알려줍니다.
이러한 관리 요령을 작성할 때는 MSDS에 적힌 내용을 참고해야 하며, 유해성·위험성이 유사한 물질은 그룹별로 묶어 게시할 수도 있습니다.
MSDS 게시의 중요성:
MSDS를 제대로 게시하고 근로자들이 쉽게 접근할 수 있도록 하는 것은 단순히 법규 준수를 넘어 실질적인 사고 예방에 직결됩니다. 근로자들이 취급하는 화학물질의 위험성을 정확히 인지하고 적절한 보호구 착용 및 안전 수칙을 따르게 함으로써, 급성 중독, 피부 질환, 호흡기 질환 등 다양한 직업병을 예방할 수 있습니다. 과거에도 MSDS 정보 부족으로 인해 근로자들이 유해물질에 무방비로 노출되어 심각한 건강 문제를 겪은 사례가 많습니다.
따라서 작업장 내에 MSDS와 관리 요령을 누구나 쉽게 볼 수 있는 곳에 게시하고, 내용이 훼손되지 않도록 관리하는 것이 매우 중요합니다.
궁금한 점이 있으시면 언제든지 다시 문의해 주십시오.</t>
  </si>
  <si>
    <t>동아목재포장</t>
  </si>
  <si>
    <t>구조설계팀</t>
  </si>
  <si>
    <t>유일엔지니어링</t>
  </si>
  <si>
    <t>하이솔리드</t>
  </si>
  <si>
    <t>세일이엔지</t>
  </si>
  <si>
    <t>하이에어코리아 안전보건팀 AI 챗봇입니다.
밀폐공간 작업 시 산소 및 유해가스 농도 측정은 근로자의 생명과 직결되는 매우 중요한 절차입니다. 과거 밀폐공간에서 산소 결핍이나 유해가스 중독으로 인해 안타까운 사고가 많이 발생했습니다. 이러한 사고는 대부분 작업 전 적절한 공기 상태를 확인하지 않거나, 확인했더라도 작업 중 변화하는 공기 상태를 지속적으로 감시하지 않아 발생했습니다.
따라서 밀폐공간 작업 시에는 다음 기준에 따라 산소 및 유해가스 농도를 측정하고 관리해야 합니다.
1. 밀폐공간의 '적정공기' 기준
밀폐공간에서 작업이 안전하게 이루어지기 위한 적정공기의 기준은 다음과 같습니다. 이 기준을 벗어나면 매우 위험한 상황이므로 즉시 작업을 중단하고 대피해야 합니다.
*   산소 농도: 18% 이상 23.5% 미만
*   이산화탄소 농도: 1.5% 미만
*   일산화탄소 농도: 30ppm 미만
*   황화수소 농도: 10ppm 미만
2. 측정 및 평가 절차
밀폐공간 작업 전에는 반드시 다음 절차에 따라 산소 및 유해가스 농도를 측정하고 평가해야 합니다.
*   측정자 지정: 밀폐공간의 산소 및 유해가스 농도 측정 및 평가에 대한 지식과 실무 경험이 있는 사람을 지정해야 합니다.
*   측정 장비 지급: 지정된 측정자에게 측정 장비를 지급해야 합니다.
*   측정 및 평가: 측정자는 해당 밀폐공간의 산소 및 유해가스 농도를 측정하여 적정공기가 유지되고 있는지 평가해야 합니다.
    *   작업 시작 전: 작업을 시작하기 전에 반드시 측정해야 합니다.
    *   작업 일시 중단 후 재개 시: 작업을 잠시 중단했다가 다시 시작하는 경우에도 반드시 다시 측정해야 합니다.
*   측정자 교육: 측정 및 평가를 수행하는 자에게는 다음 사항을 숙지하도록 확인하고 필요한 교육을 실시해야 합니다.
    *   밀폐공간의 위험성
    *   측정장비의 이상 유무 확인 및 조작 방법
    *   밀폐공간 내에서의 산소 및 유해가스 농도 측정방법
    *   적정공기의 기준과 평가 방법
3. 측정 결과에 따른 조치
측정 결과 적정공기가 유지되고 있지 않다고 평가된 경우에는 즉시 다음 조치를 취해야 합니다.
*   환기: 작업장을 환기시켜 적정공기 상태를 만듭니다.
*   보호구 지급 및 착용: 환기가 어렵거나 불가능한 경우, 근로자에게 공기호흡기 또는 송기마스크를 지급하고 착용하도록 해야 합니다.
4. 기록 및 보존
측정 및 평가 결과는 다음 내용을 포함하여 3년간 보존해야 합니다.
*   측정 및 평가한 사람의 성명
*   측정 및 평가한 일시 및 장소
*   측정 결과
5. 작업 중 지속적인 관리
밀폐공간 작업은 작업 중에도 환경이 변할 수 있으므로, 다음 사항을 지속적으로 관리해야 합니다.
*   환기: 작업을 시작하기 전과 작업 중에 해당 작업장이 적정공기 상태를 유지하도록 환기해야 합니다. 다만, 폭발이나 산화 위험으로 환기가 어렵다면 공기호흡기 또는 송기마스크를 착용해야 합니다.
*   감시인 배치: 밀폐공간 외부에는 작업 상황을 감시할 수 있는 감시인을 지정하여 배치해야 합니다. 감시인은 작업자에게 이상이 있을 경우 즉시 소방관서에 신고하고 적절한 조치를 취해야 합니다.
*   비상연락체계: 작업장과 외부 감시인 간에 항상 연락을 취할 수 있는 설비를 설치해야 합니다.
*   안전대 및 구명밧줄: 산소결핍이나 유해가스로 인한 추락 위험이 있는 경우, 안전대나 구명밧줄, 공기호흡기 또는 송기마스크를 지급하고 착용하도록 해야 합니다.
*   대피용 기구 비치: 공기호흡기 또는 송기마스크, 사다리, 섬유로프 등 비상시 근로자를 피난시키거나 구출하기 위한 기구를 갖추어 두어야 합니다.
*   긴급 구조 훈련: 긴급상황 발생 시 대응할 수 있도록 비상연락체계 운영, 구조용 장비 사용, 보호구 착용, 응급처치 등에 관한 훈련을 6개월에 1회 이상 주기적으로 실시하고 기록을 보존해야 합니다.
밀폐공간 작업은 보이지 않는 위험이 도사리고 있는 작업입니다. '괜찮겠지'라는 안일한 생각은 절대 금물이며, 위에서 말씀드린 모든 안전 수칙을 철저히 지켜야만 소중한 생명을 지킬 수 있습니다. 궁금한 점이 있으시면 언제든지 다시 문의해 주십시오.</t>
  </si>
  <si>
    <t>이봄코리아</t>
  </si>
  <si>
    <t>엔지니어링</t>
  </si>
  <si>
    <t>김영민</t>
  </si>
  <si>
    <t>세홍산업</t>
  </si>
  <si>
    <t>하이에어코리아 안전보건팀 AI 챗봇입니다.
안전보건관리규정에 반드시 포함되어야 할 필수 항목 4가지는 다음과 같습니다. 이 규정들은 근로자 여러분의 안전과 건강을 지키기 위한 중요한 약속이므로, 내용을 잘 숙지하고 지켜주시는 것이 매우 중요합니다.
1.  안전 및 보건에 관한 관리조직과 그 직무에 관한 사항:
    *   이 항목은 사업장 내에서 누가 안전과 보건 업무를 담당하고, 각자의 역할과 책임이 무엇인지를 명확히 하는 내용입니다. 예를 들어, 안전관리자, 보건관리자, 관리감독자 등 각 직책의 역할과 업무 범위가 구체적으로 명시되어야 합니다.
    *   왜 중요할까요? 책임과 역할이 명확해야 사고 발생 시 신속하고 체계적인 대응이 가능하며, 평상시에도 안전 관리 업무가 누락되지 않고 효과적으로 수행될 수 있습니다. 책임자가 불분명하면 안전 문제가 발생했을 때 해결이 지연되거나 방치될 위험이 커집니다.
2.  안전보건교육에 관한 사항:
    *   이 항목은 근로자 여러분이 받아야 할 안전보건교육의 종류, 내용, 주기, 방법 등을 규정합니다. 신규 채용 시 교육, 작업 내용 변경 시 교육, 정기 교육, 특별 교육 등 다양한 교육 계획이 포함됩니다.
    *   왜 중요할까요? 교육은 사고를 예방하는 가장 기본적인 방법입니다. 작업 중 발생할 수 있는 위험 요소를 미리 인지하고, 안전하게 작업하는 방법을 배우며, 비상 상황에 대처하는 능력을 키울 수 있습니다. 교육이 부족하면 위험을 알아차리지 못하거나 잘못된 방법으로 작업하여 사고로 이어질 수 있습니다.
3.  작업장의 안전 및 보건 관리에 관한 사항:
    *   이 항목은 실제 작업 현장에서 지켜야 할 구체적인 안전 수칙과 보건 관리 방법을 담고 있습니다. 예를 들어, 기계·설비의 안전 조치, 유해 물질 취급 요령, 보호구 착용 기준, 작업 환경 점검 및 개선 절차 등이 포함됩니다.
    *   왜 중요할까요? 현장에서 직접적으로 위험에 노출되는 근로자 여러분의 안전을 위한 핵심 내용입니다. 과거에는 안전 수칙을 지키지 않아 기계에 끼이거나(협착), 높은 곳에서 떨어지는(추락), 유해 물질에 노출되는 등의 사고가 빈번했습니다. 이 규정들은 이러한 사고를 막기 위한 최소한의 약속입니다.
4.  사고 조사 및 대책 수립에 관한 사항:
    *   이 항목은 만약 산업재해가 발생했을 때, 어떻게 사고 원인을 조사하고, 재발 방지를 위한 대책을 수립하며, 그 결과를 공유할 것인지에 대한 절차를 규정합니다.
    *   왜 중요할까요? 사고는 언제든 발생할 수 있습니다. 중요한 것은 같은 사고가 다시 발생하지 않도록 철저히 원인을 분석하고 개선하는 것입니다. 이 규정은 사고를 통해 배우고 더 안전한 작업 환경을 만들어 나가는 데 필수적인 과정입니다.
이 외에도 안전보건관리규정에는 안전 및 보건에 관한 다양한 사항들이 포함될 수 있습니다. 근로자 여러분께서는 이 규정들을 반드시 지켜주시고, 궁금한 점이나 개선이 필요하다고 생각하는 부분이 있다면 언제든지 안전보건팀에 문의해 주시기를 바랍니다.
저희 하이에어코리아 안전보건팀은 근로자 여러분의 안전을 최우선으로 생각하며, 항상 안전하고 건강한 작업 환경을 만들기 위해 노력하겠습니다.</t>
  </si>
  <si>
    <t>세신산업</t>
  </si>
  <si>
    <t>신진산업</t>
  </si>
  <si>
    <t>정기안전교육 이수시간 알려줘</t>
  </si>
  <si>
    <t>호성산업</t>
  </si>
  <si>
    <t>안녕하세요, 하이에어코리아 안전보건팀 AI 챗봇입니다.
근로자 정기 안전교육 이수시간에 대해 문의주셨습니다. 정기 안전교육은 근로자분들의 안전 의식을 높이고 사고를 예방하는 데 매우 중요한 과정입니다.
정기 안전교육의 이수 시간은 근로자의 종류와 사업장의 특성에 따라 다르게 적용됩니다.
1. 일반 근로자 정기교육 시간:
일반 근로자분들은 매 분기 3시간 이상의 정기교육을 이수하셔야 합니다. 이는 작업 중 발생할 수 있는 다양한 위험 요소를 인지하고, 안전하게 작업할 수 있는 능력을 키우기 위함입니다.
2. 관리감독자 정기교육 시간:
관리감독자분들은 일반 근로자보다 더 많은 책임과 역할을 수행하시므로, 매년 16시간 이상의 정기교육을 이수하셔야 합니다. 관리감독자 교육은 작업 지휘 및 통솔, 위험성 평가, 비상조치 계획 수립 등 더 심화된 내용을 다룹니다.
3. 사무직 및 판매업 종사 근로자 정기교육 시간:
사무직에 종사하시거나 판매업에 종사하시는 근로자분들은 매 분기 1시간 이상의 정기교육을 이수하시면 됩니다. 현장 작업에 비해 위험도가 낮을 수 있지만, 사무 환경에서의 안전 수칙, 비상 대처 요령 등 기본적인 안전 지식은 필수적입니다.
4. 특별교육 대상 작업에 종사하는 근로자:
만약 특별교육 대상 작업에 종사하시는 근로자라면, 해당 작업에 대한 특별교육을 추가로 이수하셔야 합니다. 특별교육은 특정 위험 작업에 대한 안전 수칙과 절차를 집중적으로 다루며, 이는 해당 작업에서 발생할 수 있는 중대 재해를 예방하는 데 결정적인 역할을 합니다.
교육 시간 면제 및 단축에 대한 안내:
*   전년도 무재해 사업장: 전년도에 산업재해가 발생하지 않은 사업장의 경우, 다음 연도에 한정하여 근로자 정기교육 시간을 50% 범위 내에서 면제받을 수 있습니다. 이는 안전한 작업 환경 조성에 기여한 사업장에 대한 혜택입니다.
*   근로자건강센터 참여: 안전관리자 및 보건관리자 선임 의무가 없는 사업장의 경우, 근로자건강센터에서 실시하는 안전보건교육, 건강상담, 건강관리 프로그램 등 근로자 건강관리 활동에 참여한 시간만큼 해당 반기(관리감독자의 경우 해당 연도)의 근로자 정기교육 시간에서 면제받을 수 있습니다. 이 경우, 참여 사실을 입증할 수 있는 서류를 갖춰 두셔야 합니다.
*   타 법령에 따른 교육 이수: 특정 법령(예: 원자력안전법, 항만안전특별법, 화학물질관리법)에 따라 정기교육, 채용 시 교육 또는 특별교육을 이수한 경우, 해당 교육 시간을 우리 회사의 정기교육 시간에서 면제받을 수 있습니다.
*   경험이 있는 근로자: 채용되거나 변경된 작업에 6개월 이상 근무한 경험이 있는 근로자가 특정 조건(이직 후 1년 이내 동일 업종 채용, 같은 사업장 내 1년 이내 동일 특별교육 대상 작업 배치 등)을 만족하는 경우, 채용 시 교육 또는 특별교육 시간을 50% 이상 면제받을 수 있습니다.
안전교육은 단순한 의무가 아니라, 근로자 여러분의 소중한 생명과 건강을 지키기 위한 필수적인 투자입니다. 교육 내용을 숙지하시고, 항상 안전 수칙을 준수하여 건강하게 작업하시기를 바랍니다.
궁금한 점이 있으시면 언제든지 다시 문의해주세요.</t>
  </si>
  <si>
    <t>대승산업</t>
  </si>
  <si>
    <t>현민산업</t>
  </si>
  <si>
    <t>다온산업</t>
  </si>
  <si>
    <t>태영산업</t>
  </si>
  <si>
    <t>오늘 날씨는</t>
  </si>
  <si>
    <t>하이에어코리아 안전보건팀 AI 챗봇입니다.
문의하신 날씨 정보는 현장 안전 및 보건 관리 업무 범위를 벗어나는 사항이라 답변이 어렵습니다. 안전과 관련된 다른 궁금한 점이 있으시면 언제든지 다시 질문해 주십시오.</t>
  </si>
  <si>
    <t>한성전기</t>
  </si>
  <si>
    <t>제이에스마린</t>
  </si>
  <si>
    <t>조이비피</t>
  </si>
  <si>
    <t>이레기업</t>
  </si>
  <si>
    <t>제이원산업</t>
  </si>
  <si>
    <t>하이에어코리아 안전보건팀 AI 챗봇입니다.
안전검사를 받지 않거나 불합격한 기계·설비를 사용하는 것은 매우 위험하며, 중대한 사고로 이어질 수 있습니다. 안전검사 미실시 시 법적 과태료 부과 기준에 대해 상세히 설명해 드리겠습니다.
---
안전검사 미실시 시 법적 과태료 부과 기준
안전검사 대상 기계·설비에 대해 안전검사를 받지 않거나, 안전검사에 불합격한 기계·설비를 계속 사용하는 경우 과태료가 부과될 수 있습니다. 이는 근로자의 안전을 확보하기 위한 중요한 조치이므로 반드시 준수해야 합니다.
1. 산업안전보건법에 따른 안전검사 대상 기계·설비
산업안전보건법에 따라 안전검사를 받아야 하는 주요 기계·설비는 다음과 같습니다.
*   프레스
*   전단기
*   크레인 (정격 하중 2톤 미만 제외)
*   리프트
*   압력용기
*   곤돌라
*   국소 배기장치 (이동식 제외)
*   원심기 (산업용만 해당)
*   롤러기 (밀폐형 구조 제외)
*   사출성형기 (형 체결력 294킬로뉴턴(KN) 미만 제외)
*   고소작업대 (화물자동차 또는 특수자동차에 탑재한 고소작업대로 한정)
*   컨베이어
*   산업용 로봇
이러한 기계·설비는 설치가 끝난 날부터 3년 이내에 최초 안전검사를 받아야 하며, 그 이후부터는 2년마다 정기적으로 검사를 받아야 합니다. 다만, 건설현장에서 사용하는 크레인은 최초 설치일로부터 6개월마다 검사를 받아야 합니다.
2. 승강기 안전관리법에 따른 안전검사 대상 승강기
승강기 안전관리법에 따라 승강기 관리주체는 다음 각 호의 안전검사를 받아야 합니다.
*   정기검사: 설치검사 후 정기적으로 하는 검사로, 검사 주기는 2년 이하입니다. 승강기의 종류, 사용 연수, 중대한 사고 또는 고장 발생 여부 등을 고려하여 검사 주기가 달라질 수 있습니다.
*   수시검사: 다음 각 호의 어느 하나에 해당하는 경우에 실시합니다.
    *   승강기의 종류, 제어방식, 정격 속도, 정격 용량 또는 왕복 운행 거리를 변경한 경우
    *   승강기의 제어반 또는 구동기를 교체한 경우
    *   승강기에 사고가 발생하여 수리한 경우
    *   관리주체가 요청하는 경우
*   정밀안전검사: 다음 각 호의 어느 하나에 해당하는 경우에 실시하며, 특히 설치검사를 받은 날부터 15년이 지난 경우에는 정밀안전검사를 받고, 그 후 3년마다 정기적으로 정밀안전검사를 받아야 합니다.
    *   정기검사 또는 수시검사 결과 결함 원인이 불명확하여 사고 예방 및 안전성 확보를 위해 필요하다고 인정하는 경우
    *   승강기 결함으로 중대한 사고 또는 중대한 고장이 발생한 경우
    *   설치검사를 받은 날부터 15년이 지난 경우
    *   그 밖에 승강기 성능 저하로 이용자 안전을 위협할 우려가 있어 필요하다고 인정하는 경우
3. 안전검사 미실시 시 과태료 부과 기준
안전검사를 받지 않거나 불합격한 기계·설비를 사용하는 경우, 해당 법령에 따라 과태료가 부과됩니다.
*   산업안전보건법 대상 기계·설비:
    *   안전검사를 받지 않거나, 안전검사에 불합격한 기계·설비를 사용하는 사업주에게 과태료가 부과됩니다. 구체적인 과태료 금액은 위반 횟수 및 위반 내용에 따라 달라질 수 있으나, 최대 1천만원 이하의 과태료가 부과될 수 있습니다.
    *   사고 예방의 실효성: 안전검사는 기계·설비의 잠재적 위험 요소를 사전에 발견하고 제거하여 중대 재해를 예방하는 핵심 절차입니다. 검사를 받지 않으면 노후화된 부품, 오작동 가능성, 구조적 결함 등이 방치되어 기계 오작동으로 인한 협착, 끼임, 낙하 등의 치명적인 사고로 이어질 수 있습니다. 과거에도 정기적인 점검을 소홀히 하여 발생한 기계 오작동 사고로 많은 근로자가 다치거나 사망하는 안타까운 사례가 있었습니다.
*   승강기 안전관리법 대상 승강기:
    *   관리주체가 안전검사를 받지 않거나, 안전검사에 불합격한 승강기를 운행하는 경우 과태료가 부과됩니다. 또한, 검사를 받지 않거나 불합격한 승강기는 운행이 정지될 수 있으며, 운행정지 표지가 부착됩니다.
    *   사고 예방의 실효성: 승강기는 다수의 사람이 이용하는 시설이므로 안전검사 미실시는 불특정 다수의 생명과 안전에 직접적인 위협이 됩니다. 검사를 받지 않은 승강기는 추락, 끼임, 갇힘 등의 심각한 사고를 유발할 수 있으며, 이는 단순한 부상을 넘어 사망에 이를 수 있는 중대한 위험을 내포합니다. 정기적인 검사를 통해 브레이크 시스템, 도어 안전장치, 비상 통화 장치 등 핵심 안전 장치의 정상 작동 여부를 확인하는 것이 필수적입니다.
4. 실무 밀착형 가이드
*   안전검사 신청: 안전검사 대상 기계·설비의 검사 주기 만료일 30일 전에 안전검사기관에 신청서를 제출해야 합니다. 승강기의 경우에도 검사 주기 도래 전에 안전검사 신청서를 제출해야 합니다.
*   합격증명서 부착: 안전검사에 합격하면 발급되는 안전검사합격증명서를 해당 기계·설비에 잘 보이도록 부착해야 합니다. 승강기의 경우에도 검사합격증명서를 이용자가 잘 볼 수 있는 곳에 즉시 붙이고 훼손되지 않도록 관리해야 합니다.
*   불합격 시 조치: 만약 안전검사에 불합격했다면, 해당 기계·설비는 절대 사용해서는 안 됩니다. 불합격 사유를 신속히 개선하고 재검사를 받아 합격해야만 다시 사용할 수 있습니다. 승강기의 경우 불합격한 날부터 4개월 이내에 안전검사를 다시 받아야 합니다.
---
안전검사는 단순한 법적 의무를 넘어, 근로자와 이용자의 생명을 보호하는 가장 기본적인 안전 수칙입니다. 하이에어코리아는 모든 근로자 여러분의 안전을 최우선으로 생각하며, 항상 안전한 작업 환경을 조성하기 위해 노력하겠습니다. 궁금한 점이 있으시면 언제든지 안전보건팀으로 문의해 주십시오.</t>
  </si>
  <si>
    <t>광진테크</t>
  </si>
  <si>
    <t>유나산업</t>
  </si>
  <si>
    <t>키움엔지니어링</t>
  </si>
  <si>
    <t>하이에어코리아 안전보건팀 AI 챗봇입니다.
전기설비 정기검사 주기와 법적 대상 범위에 대해 자세히 설명해 드리겠습니다. 전기설비는 우리 작업 현장에서 매우 중요한 역할을 하며, 정기적인 검사를 통해 사고를 예방하고 안전을 확보할 수 있습니다.
---
1. 전기설비 정기검사 주기
전기설비의 정기검사 주기는 기본적으로 1년입니다. 하지만 특정 조건에 따라 검사 주기가 달라질 수 있으니, 해당되는 사항이 있는지 확인해 주시는 것이 중요합니다.
*   기본 주기: 1년 (설치검사 또는 직전 정기검사를 받은 날부터 매 1년)
*   검사 기간: 정기검사 주기 도래일 전후 각각 30일 이내에 검사를 받아야 합니다.
예외적으로 검사 주기가 조정되는 경우:
*   설치검사를 받은 날부터 25년이 지난 승강기: 6개월
    *   다만, 정기검사 주기 도래일 전에 수시검사 또는 정밀안전검사를 받은 경우에는 해당 검사 직후의 정기검사에 한정하여 1년으로 합니다.
*   승강기 결함으로 중대한 사고 또는 중대한 고장이 발생한 후 2년이 지나지 않은 승강기: 6개월
*   특정 엘리베이터: 2년
    *   화물용 엘리베이터
    *   자동차용 엘리베이터
    *   소형화물용 엘리베이터(Dumbwaiter)
*   단독주택에 설치된 승강기: 2년
정기검사 시기 조정이 가능한 경우:
*   전력 공급 부족, 재해 또는 긴급사태로 정기검사를 실시하기 곤란하다고 인정되는 경우
*   전기재해 예방을 위해 전기재해가 발생했거나 발생할 우려가 현저하여 긴급히 정기검사가 필요하다고 인정되는 경우
*   전기사업자 또는 자가용전기설비의 소유자 또는 점유자가 필요하다고 인정하는 경우, 검사시기 전에 정기검사를 받을 수 있습니다. 이 경우 다음 검사시기는 해당 검사일을 기준으로 다시 정해집니다.
---
2. 전기설비 정기검사 법적 대상 범위
정기검사 대상이 되는 전기설비는 전기사업자 및 자가용전기설비의 소유자 또는 점유자가 소유하거나 점유하는 전기설비입니다.
여기서 자가용전기설비란 전기사업법에 따른 전기설비 중 일반용전기설비가 아닌 것을 의미합니다. 우리 하이에어코리아 현장에서 사용하는 대부분의 전기설비가 이에 해당될 수 있습니다.
정기검사 대상에서 제외될 수 있는 경우:
*   「전기사업법」에 따른 송전사업자 및 배전사업자가 자체 검사를 실시한 경우, 해당 검사를 받은 것으로 간주됩니다.
---
3. 정기검사 불합격 시 조치사항
만약 정기검사에서 불합격 판정을 받으셨다면, 적합하지 않은 부분에 대해 검사 완료일로부터 3개월 이내에 재검사를 받아야 합니다.
*   예외: 태양광발전소의 부지 및 구조물이 불합격한 경우로서 계절적·환경적 요인으로 3개월 이내에 개보수가 어려운 경우, 최대 6개월까지 재검사 기간을 연장할 수 있습니다.
---
4. 정기검사 신청 절차
정기검사를 받으시려면 다음 서류를 첨부하여 검사를 받으려는 날의 7일 전까지 안전공사에 제출해야 합니다.
*   정기검사 신청서 (별지 제6호서식)
*   전기안전관리자 선임신고증명서 사본
*   그 밖에 정기검사를 실시하는 데 필요한 서류 (기후에너지환경부장관이 고시하는 서류)
    *   참고: 그 밖의 서류는 정기검사를 받는 날까지 제출할 수 있습니다.
---
안전은 아무리 강조해도 지나치지 않습니다. 정기적인 검사를 통해 전기설비의 안전성을 확보하고, 혹시 모를 사고를 미리 예방하는 것이 중요합니다. 궁금한 점이 있으시면 언제든지 다시 문의해 주십시오.</t>
  </si>
  <si>
    <t>지에스와이</t>
  </si>
  <si>
    <t>영진산업</t>
  </si>
  <si>
    <t>국가</t>
  </si>
  <si>
    <t>업무내용</t>
  </si>
  <si>
    <t>아차사고</t>
  </si>
  <si>
    <t>작업장위험</t>
  </si>
  <si>
    <t>출장/외근</t>
  </si>
  <si>
    <t>즉시개선</t>
  </si>
  <si>
    <t>자유의견</t>
  </si>
  <si>
    <t>en</t>
  </si>
  <si>
    <t>LeeHoseong</t>
  </si>
  <si>
    <t>Safety (안전)</t>
  </si>
  <si>
    <t>I experienced skid accident (저는 미끄러짐 사고를 경험했습니다.)</t>
  </si>
  <si>
    <t>no (아니요)</t>
  </si>
  <si>
    <t>yes, i experienced many risk (네, 저는 많은 위험을 경험했습니다.)</t>
  </si>
  <si>
    <t>없음</t>
  </si>
  <si>
    <t>i have many idea for safety (저는 안전에 관한 많은 아이디어를 가지고 있습니다.)</t>
  </si>
  <si>
    <t>대한민국</t>
  </si>
  <si>
    <t>계단에서 넘어질뻔함</t>
  </si>
  <si>
    <t>지게차가 규정속도를 안 지켜서 위험함</t>
  </si>
  <si>
    <t>부산사무소 가는 중에 끼어들기 차량 때문에 위험함</t>
  </si>
  <si>
    <t>노후 설비 및 파손 공구 교체</t>
  </si>
  <si>
    <t>근로 여건 개선</t>
  </si>
  <si>
    <t>분전반 감전 위험</t>
  </si>
  <si>
    <t>분전반</t>
  </si>
  <si>
    <t>조선소에서  추락 위험 있음</t>
  </si>
  <si>
    <t>불안전한 작업 환경 개선</t>
  </si>
  <si>
    <t>Workplace</t>
  </si>
  <si>
    <t>Department</t>
  </si>
  <si>
    <t>Info_Data</t>
  </si>
  <si>
    <t>Assessment_Data</t>
  </si>
  <si>
    <t>Plan_Data</t>
  </si>
  <si>
    <t>Results_Data</t>
  </si>
  <si>
    <t>2026. 5. 18. 오후 3:55:21</t>
  </si>
  <si>
    <t>{"instructor":{"dept":"안전보건팀","pos":"부장","name":"서민수","remark":""},"work_env":{"accident":{"hist":"no","hist_desc":"","near":"yes","near_desc":""},"shift_work":"no","workers":{"female":"1","new":"0","male":"3","temp":"0","senior":"0","disabled":"0","foreign":"0","sub":"0"},"transport":{"machine":false,"manual":false},"permit":"no","heavy":{"lift":false,"push":false,"pull":false},"special_edu":"no","safety_gear":"안전모, 안전화 등"},"participants":[{"dept":"안전보건팀","pos":"차장","name":"이정환","remark":""},{"dept":"안전보건팀","pos":"대리","name":"이호성","remark":""},{"dept":"안전보건팀","pos":"대리","name":" 이민혜","remark":""}],"process":{"name":"안전 및 보건 관리","desc":"안전 및 보건에 대한 전반적인 업무"},"process_steps":[{"step":"현장 업무","content":"현장 업무 전반","equipment":"","hazard":"","equipment_list":[],"hazard_list":[]},{"step":"사무 업무","content":"사무 업무 전반 ","equipment":"","hazard":"","equipment_list":[],"hazard_list":[]},{"step":"FAN일","content":"","equipment":"","hazard":"","equipment_list":[],"hazard_list":[]},{"step":"FUELCELL일","content":"","equipment":"","hazard":"","equipment_list":[],"hazard_list":[]},{"step":"DIECASTING일","content":"","equipment":"","hazard":"","equipment_list":[],"hazard_list":[]},{"step":"선물불출","content":"","equipment":"","hazard":"","equipment_list":[],"hazard_list":[]},{"step":"피복불출","content":"","equipment":"","hazard":"","equipment_list":[],"hazard_list":[]},{"step":"기숙사관리","content":"","equipment":"","hazard":"","equipment_list":[],"hazard_list":[]},{"step":"출장업무","content":"","equipment":"","hazard":"","equipment_list":[],"hazard_list":[]},{"step":"열번쨰 공정","content":"","equipment":"","hazard":"","equipment_list":[],"hazard_list":[]},{"step":"열 한번째 공정","content":"","equipment":"","hazard":"","equipment_list":[],"hazard_list":[]},{"step":"열 두번째 공정","content":"","equipment":"","hazard":"","equipment_list":[],"hazard_list":[]},{"step":"열 세번째 공정","content":"","equipment":"","hazard":"","equipment_list":[],"hazard_list":[]},{"step":"열네번째 공정","content":"","equipment":"","hazard":"","equipment_list":[],"hazard_list":[]}]}</t>
  </si>
  <si>
    <t>[{"stepIndex":0,"hazard":"분전반 감전 위험","riskLevel":"H","measure":"","code":"1-1","source":"feedback","feedbackItemId":"q1_nearMiss_0"},{"stepIndex":0,"hazard":"계단에서 넘어질뻔함","riskLevel":"M","measure":"","code":"1-2","source":"feedback","feedbackItemId":"q1_nearMiss_1"},{"stepIndex":0,"hazard":"I experienced skid accident (저는 미끄러짐 사고를 경험했습니다.)","riskLevel":"L","measure":"","code":"","source":"feedback","feedbackItemId":"q1_nearMiss_2"},{"stepIndex":0,"hazard":"지게차 등 운반기계 충돌 위험","riskLevel":"L","measure":"","code":"","source":"","feedbackItemId":""},{"stepIndex":0,"hazard":"크레인 인양물 낙하 위험","riskLevel":"L","measure":"","code":"","source":"","feedbackItemId":""}]</t>
  </si>
  <si>
    <t>{"1-1":{"dueDate":"2026-02-19","manager":"이호성"},"1-2":{"dueDate":"2026-02-26","manager":"이호성"},"2-1":{"dueDate":"2026-02-26","manager":"이호성"},"3-1":{"dueDate":"2026-03-04","manager":"이호성"},"1-3":{"dueDate":"2026-02-19","manager":"이호성"},"1-4":{"dueDate":"2026-03-04","manager":"이호성"},"1-5":{"dueDate":"2026-02-23","manager":"이호성"},"1-6":{"dueDate":"2026-03-02","manager":"이호성"},"1-7":{"dueDate":"2026-02-25","manager":"이호성"},"7-1":{"dueDate":"2026-02-24","manager":"이호성"},"8-1":{"dueDate":"2026-02-25","manager":"이호성"}}</t>
  </si>
  <si>
    <t>{"7-1":{"beforeImg":"","afterText":"","beforeText":"","afterImg":""},"8-1":{"beforeImg":"","afterText":"","beforeText":"","afterImg":""},"1-1":{"beforeImg":"https://lh3.googleusercontent.com/d/1aCJAuDNVXMMos5HMq9Q5pmFExtp1XHf7","afterText":"","afterImg":"","beforeText":""},"2-1":{"beforeImg":"","afterText":"","beforeText":"","afterImg":""},"1-2":{"beforeImg":"","afterText":"","beforeText":"","afterImg":""},"3-1":{"beforeImg":"","afterText":"","afterImg":"","beforeText":""}}</t>
  </si>
  <si>
    <t>{"instructor":{"dept":"안전보건팀","pos":"","name":"","remark":""},"participants":[{"dept":"안전보건팀","pos":"","name":"","remark":""}],"process":{"name":"","desc":""},"process_steps":[],"work_env":{"accident":{"hist":"","hist_desc":"","near":"","near_desc":""},"shift_work":"","workers":{"female":"0","new":"0","male":"0","temp":"0","senior":"0","disabled":"0","foreign":"0","sub":"0"},"transport":{"machine":false,"manual":false},"permit":"","heavy":{"lift":false,"push":false,"pull":false},"special_edu":"","safety_gear":""}}</t>
  </si>
  <si>
    <t>{"instructor":{"dept":"기술1팀","pos":"","name":"","remark":""},"participants":[{"dept":"기술1팀","pos":"","name":"","remark":""},{"dept":"기술1팀","pos":"","name":"","remark":""},{"dept":"기술1팀","pos":"","name":"","remark":""},{"dept":"기술1팀","pos":"","name":"","remark":""},{"dept":"기술1팀","pos":"","name":"","remark":""},{"dept":"기술1팀","pos":"","name":"","remark":""}],"process":{"name":"","desc":""},"process_steps":[],"work_env":{"accident":{"hist":"no","hist_desc":"","near":"no","near_desc":""},"shift_work":"no","workers":{"female":"0","new":"0","male":"0","temp":"0","senior":"0","disabled":"0","foreign":"0","sub":"0"},"transport":{"machine":false,"manual":false},"permit":"","heavy":{"lift":false,"push":false,"pull":false},"special_edu":"","safety_gear":""}}</t>
  </si>
  <si>
    <t>2026. 2. 11. PM 3:12:20</t>
  </si>
  <si>
    <t>2026. 2. 12. AM 8:16:58</t>
  </si>
  <si>
    <t>{"instructor":{"dept":"PM팀","pos":"","name":"","remark":""},"work_env":{"accident":{"hist":"","hist_desc":"","near":"","near_desc":""},"shift_work":"","workers":{"female":"0","new":"0","male":"0","temp":"0","senior":"0","disabled":"0","foreign":"0","sub":"0"},"transport":{"machine":false,"manual":false},"permit":"","heavy":{"lift":false,"push":false,"pull":false},"special_edu":"","safety_gear":""},"participants":[{"dept":"PM팀","pos":"","name":"","remark":""}],"process":{"name":"","desc":""},"process_steps":[]}</t>
  </si>
  <si>
    <t>2026. 5. 18. 오후 3:57:04</t>
  </si>
  <si>
    <t>{"instructor":{"dept":"Fan생산팀","pos":"부장","name":"강경윤","remark":""},"work_env":{"accident":{"hist":"no","hist_desc":"","near":"no","near_desc":""},"shift_work":"no","workers":{"female":"1","new":"0","male":"30","temp":"0","senior":"0","disabled":"0","foreign":"0","sub":"0"},"transport":{"machine":true,"manual":true},"permit":"no","heavy":{"lift":true,"push":true,"pull":true},"special_edu":"no","safety_gear":"안전모, 안전화, 보안경 등"},"participants":[{"dept":"Fan생산팀","pos":"대리","name":"배동혁","remark":""},{"dept":"Fan생산팀","pos":"대리","name":"이승민","remark":""}],"process":{"name":"생산 관리 및 공정 관리","desc":"생산 및 공정에 대한 전반적인 업무"},"process_steps":[{"step":"1번 공정","content":"1번 공정입니다.","equipment":"도구 1","hazard":"유해화학물질 1","equipment_list":[{"name":"도구 1","qty":"1"}],"hazard_list":[{"name":"유해화학물질 1","usage":"","supplier":""}]},{"step":"2번 공정","content":"2번 공정입니다.","equipment":"도구2","hazard":"유해화학물질 2","equipment_list":[{"name":"도구2","qty":"2"}],"hazard_list":[{"name":"유해화학물질 2","usage":"","supplier":""}]},{"step":"3번 공정","content":"3번 공정입니다.","equipment":"","hazard":"","equipment_list":[],"hazard_list":[]}]}</t>
  </si>
  <si>
    <t>{}</t>
  </si>
  <si>
    <t>★추락</t>
  </si>
  <si>
    <t>고소 작업 중 추락 위험</t>
  </si>
  <si>
    <t>비계·작업발판 불량에 의한 추락 위험</t>
  </si>
  <si>
    <t>안전난간 미설치에 의한 추락 위험</t>
  </si>
  <si>
    <t>사다리 사용 중 추락 위험</t>
  </si>
  <si>
    <t>개구부 미덮개에 의한 추락 위험</t>
  </si>
  <si>
    <t>지붕 작업 시 추락 위험</t>
  </si>
  <si>
    <t>이동식 크레인 탑승에 의한 추락 위험</t>
  </si>
  <si>
    <t>안전대 미착용에 의한 추락 위험</t>
  </si>
  <si>
    <t>경사면·단차에서 미끄러짐에 의한 추락 위험</t>
  </si>
  <si>
    <t>고소작업차 전도에 의한 탑승자 추락 위험</t>
  </si>
  <si>
    <t>★전도·전복</t>
  </si>
  <si>
    <t>바닥 유체(물·기름)로 인한 미끄러짐 위험</t>
  </si>
  <si>
    <t>바닥 요철·단차에 의한 넘어짐 위험</t>
  </si>
  <si>
    <t>정리정돈 미흡에 의한 걸려 넘어짐 위험</t>
  </si>
  <si>
    <t>사다리 전도 위험</t>
  </si>
  <si>
    <t>지게차 과속에 의한 전복 위험</t>
  </si>
  <si>
    <t>적재물 과다에 의한 전도 위험</t>
  </si>
  <si>
    <t>무거운 적재물 전도에 의한 충돌 위험</t>
  </si>
  <si>
    <t>통로 장애물에 의한 걸려 넘어짐 위험</t>
  </si>
  <si>
    <t>우천 시 야외 바닥 미끄러짐 위험</t>
  </si>
  <si>
    <t>경사로 미끄럼 방지 미흡에 의한 전도 위험</t>
  </si>
  <si>
    <t>★끼임·협착</t>
  </si>
  <si>
    <t>회전체(벨트·풀리) 접촉에 의한 끼임 위험</t>
  </si>
  <si>
    <t>프레스·절단기 협착 위험</t>
  </si>
  <si>
    <t>컨베이어 구동부 끼임 위험</t>
  </si>
  <si>
    <t>롤러·기어 사이 끼임 위험</t>
  </si>
  <si>
    <t>자동문·셔터에 의한 끼임 위험</t>
  </si>
  <si>
    <t>방호장치 미설치에 의한 끼임 위험</t>
  </si>
  <si>
    <t>기계 정비 중 갑작스런 기동에 의한 끼임 위험</t>
  </si>
  <si>
    <t>크레인 와이어로프에 의한 끼임 위험</t>
  </si>
  <si>
    <t>차량 도어·트렁크에 의한 끼임 위험</t>
  </si>
  <si>
    <t>유압 장비 작동부 끼임 위험</t>
  </si>
  <si>
    <t>★충돌·낙하</t>
  </si>
  <si>
    <t>지게차 등 운반기계 충돌 위험</t>
  </si>
  <si>
    <t>크레인 인양물 낙하 위험</t>
  </si>
  <si>
    <t>공구·자재 낙하에 의한 맞음 위험</t>
  </si>
  <si>
    <t>적재물 붕괴에 의한 충돌 위험</t>
  </si>
  <si>
    <t>차량 후진 시 충돌 위험</t>
  </si>
  <si>
    <t>중장비 작업반경 내 충돌 위험</t>
  </si>
  <si>
    <t>고소 작업 시 공구 낙하 위험</t>
  </si>
  <si>
    <t>선반·적재대 낙하물 위험</t>
  </si>
  <si>
    <t>천장 크레인 이동물체 충돌 위험</t>
  </si>
  <si>
    <t>호이스트 과부하에 의한 낙하 위험</t>
  </si>
  <si>
    <t>★감전</t>
  </si>
  <si>
    <t>전기 충전부 접촉에 의한 감전 위험</t>
  </si>
  <si>
    <t>누전에 의한 감전 위험</t>
  </si>
  <si>
    <t>접지 불량에 의한 감전 위험</t>
  </si>
  <si>
    <t>전선 피복 손상에 의한 감전 위험</t>
  </si>
  <si>
    <t>습윤 환경 전기작업 시 감전 위험</t>
  </si>
  <si>
    <t>임시 배선 부적정에 의한 감전 위험</t>
  </si>
  <si>
    <t>분전반 개방 상태에 의한 감전 위험</t>
  </si>
  <si>
    <t>활선 작업 시 감전 위험</t>
  </si>
  <si>
    <t>전동공구 절연 불량에 의한 감전 위험</t>
  </si>
  <si>
    <t>고압 전기설비 접근에 의한 감전 위험</t>
  </si>
  <si>
    <t>★화재·폭발</t>
  </si>
  <si>
    <t>누전·단락에 의한 화재 위험</t>
  </si>
  <si>
    <t>가연성 물질 취급에 의한 폭발 위험</t>
  </si>
  <si>
    <t>용접 불꽃에 의한 화상·화재 위험</t>
  </si>
  <si>
    <t>인화성 액체 증기에 의한 폭발 위험</t>
  </si>
  <si>
    <t>가스 누출에 의한 폭발 위험</t>
  </si>
  <si>
    <t>소화설비 미비에 의한 초기진화 실패 위험</t>
  </si>
  <si>
    <t>위험물 보관 부적정에 의한 화재 위험</t>
  </si>
  <si>
    <t>정전기에 의한 인화 위험</t>
  </si>
  <si>
    <t>과부하에 의한 과열·화재 위험</t>
  </si>
  <si>
    <t>비상구·대피로 확보 미흡</t>
  </si>
  <si>
    <t>★유해물질·질식</t>
  </si>
  <si>
    <t>밀폐공간 내 유해가스(산소결핍) 위험</t>
  </si>
  <si>
    <t>화학물질(유기용제) 접촉에 의한 건강장해 위험</t>
  </si>
  <si>
    <t>분진 흡입에 의한 호흡기 질환 위험</t>
  </si>
  <si>
    <t>환기 불량에 의한 유해물질 축적 위험</t>
  </si>
  <si>
    <t>위험물 보관 부적정에 의한 누출 위험</t>
  </si>
  <si>
    <t>석면 취급에 의한 건강장해 위험</t>
  </si>
  <si>
    <t>도장 작업 시 유기증기 흡입 위험</t>
  </si>
  <si>
    <t>산·알칼리 취급에 의한 화학화상 위험</t>
  </si>
  <si>
    <t>보호구(방독마스크) 미착용 위험</t>
  </si>
  <si>
    <t>유해물질 경고표지 미부착 위험</t>
  </si>
  <si>
    <t>★중량물·근골격계</t>
  </si>
  <si>
    <t>중량물 취급 시 근골격계 부담</t>
  </si>
  <si>
    <t>반복 작업에 의한 근골격계 질환 위험</t>
  </si>
  <si>
    <t>부적절한 자세에 의한 요통 위험</t>
  </si>
  <si>
    <t>인력 운반 시 허리 부상 위험</t>
  </si>
  <si>
    <t>무리한 들기 작업에 의한 근육 손상 위험</t>
  </si>
  <si>
    <t>진동 공구 사용에 의한 손팔진동 장해 위험</t>
  </si>
  <si>
    <t>장시간 서서 작업에 의한 하지정맥류 위험</t>
  </si>
  <si>
    <t>좁은 공간 작업에 의한 근골격계 부담</t>
  </si>
  <si>
    <t>보조기구 미사용에 의한 과부하 위험</t>
  </si>
  <si>
    <t>부적합 작업대 높이에 의한 자세 부담</t>
  </si>
  <si>
    <t>★절단·찔림·화상</t>
  </si>
  <si>
    <t>날카로운 모서리·돌출물에 의한 절단 위험</t>
  </si>
  <si>
    <t>그라인더 작업 시 절단·비산물 위험</t>
  </si>
  <si>
    <t>못·철선에 의한 찔림 위험</t>
  </si>
  <si>
    <t>유리 파손에 의한 절단 위험</t>
  </si>
  <si>
    <t>고온 물체 접촉에 의한 화상 위험</t>
  </si>
  <si>
    <t>증기·열수에 의한 화상 위험</t>
  </si>
  <si>
    <t>용접 스패터에 의한 화상 위험</t>
  </si>
  <si>
    <t>칼·커터 취급에 의한 절단 위험</t>
  </si>
  <si>
    <t>보호장갑 미착용에 의한 손 부상 위험</t>
  </si>
  <si>
    <t>고온 배관 접촉에 의한 화상 위험</t>
  </si>
  <si>
    <t>★작업환경·기타</t>
  </si>
  <si>
    <t>소음에 의한 청력 손상 위험</t>
  </si>
  <si>
    <t>조도 부족에 의한 시야 제한 위험</t>
  </si>
  <si>
    <t>고온 환경에 의한 열사병 위험</t>
  </si>
  <si>
    <t>한랭 환경에 의한 동상 위험</t>
  </si>
  <si>
    <t>보호구(안전모·안전대) 미착용 위험</t>
  </si>
  <si>
    <t>안전통로 미확보에 의한 대피 지연 위험</t>
  </si>
  <si>
    <t>안전표지 미설치에 의한 인지 실패 위험</t>
  </si>
  <si>
    <t>작업 전 안전점검 미실시 위험</t>
  </si>
  <si>
    <t>신호수 미배치에 의한 충돌 위험</t>
  </si>
  <si>
    <t>1인 작업에 의한 비상대응 불가 위험</t>
  </si>
  <si>
    <t>Column</t>
  </si>
  <si>
    <t>OldData</t>
  </si>
  <si>
    <t>NewData</t>
  </si>
  <si>
    <t>User</t>
  </si>
  <si>
    <t>2026. 2. 12. PM 3:59:01</t>
  </si>
  <si>
    <t>Assessment</t>
  </si>
  <si>
    <t>[{"stepIndex":0,"hazard":"분전반 만지다가 감전될 뻔 했음","riskLevel":"M","measure":"ㅓㅓㅓㅓㅓj","code":"1-1","source":""},{"stepIndex":0,"hazard":"조선소에서  추락 위험 있음","riskLevel":"M","measure":"ㅓ","code":"1-2","source":""},{"stepIndex":0,"hazard":"yes, i experienced many risk (네, 저는 많은 위험을 경험했습니다.)","riskLevel":"L","measure":"","code":"","source":""},{"stepIndex":0,"hazard":"노후 설비 및 파손 공구 교체","riskLevel":"L","measure":"","code":"","source":""},{"stepIndex":0,"hazard":"불안전한 작업 환경 개선","riskLevel":"L","measure":"","c</t>
  </si>
  <si>
    <t>2026. 2. 13. AM 9:28:37</t>
  </si>
  <si>
    <t>2026. 2. 13. AM 11:33:24</t>
  </si>
  <si>
    <t>2026. 2. 13. AM 11:33:44</t>
  </si>
  <si>
    <t>Plan</t>
  </si>
  <si>
    <t>{"7-1":{"dueDate":"","manager":""},"8-1":{"dueDate":"","manager":""},"1-1":{"dueDate":"2026-02-19","manager":"이호성"},"2-1":{"dueDate":"","manager":""},"1-2":{"dueDate":"","manager":""},"3-1":{"dueDate":"","manager":""}}</t>
  </si>
  <si>
    <t>{"7-1":{"dueDate":"","manager":""},"8-1":{"dueDate":"","manager":""},"1-1":{"dueDate":"2026-02-19","manager":"이호성"},"1-2":{"dueDate":"","manager":""},"2-1":{"dueDate":"","manager":""},"3-1":{"dueDate":"","manager":""},"1-3":{"dueDate":"","manager":""},"1-4":{"dueDate":"","manager":""},"1-5":{"dueDate":"","manager":""},"1-6":{"dueDate":"","manager":""},"1-7":{"dueDate":"","manager":""}}</t>
  </si>
  <si>
    <t>2026. 2. 13. AM 11:49:24</t>
  </si>
  <si>
    <t>2026. 2. 13. PM 2:16:03</t>
  </si>
  <si>
    <t>2026. 2. 13. PM 2:17:00</t>
  </si>
  <si>
    <t>[{"stepIndex":0,"hazard":"분전반 만지다가 감전될 뻔 했음","riskLevel":"M","measure":"ㅓㅓㅓㅓㅓj","code":"1-1","source":""},{"stepIndex":0,"hazard":"조선소에서  추락 위험 있음","riskLevel":"M","measure":"ㅓㅎㅎ","code":"1-2","source":""},{"stepIndex":0,"hazard":"yes, i experienced many risk (네, 저는 많은 위험을 경험했습니다.)","riskLevel":"L","measure":"","code":"","source":""},{"stepIndex":0,"hazard":"노후 설비 및 파손 공구 교체","riskLevel":"L","measure":"","code":"","source":""},{"stepIndex":0,"hazard":"불안전한 작업 환경 개선","riskLevel":"L","measure":"",</t>
  </si>
  <si>
    <t>2026. 2. 13. PM 2:22:13</t>
  </si>
  <si>
    <t>2026. 2. 13. PM 2:22:58</t>
  </si>
  <si>
    <t>2026. 2. 13. PM 2:32:09</t>
  </si>
  <si>
    <t>2026. 2. 13. PM 2:32:29</t>
  </si>
  <si>
    <t>2026. 2. 13. PM 2:33:13</t>
  </si>
  <si>
    <t>주관부서</t>
  </si>
  <si>
    <t>공사명</t>
  </si>
  <si>
    <t>공사기간</t>
  </si>
  <si>
    <t>{"1-1":{"dueDate":"2026-02-19","manager":"이호성"},"1-2":{"dueDate":"","manager":""},"2-1":{"dueDate":"","manager":""},"3-1":{"dueDate":"","manager":""},"1-3":{"dueDate":"","manager":""},"1-4":{"dueDate":"","manager":""},"1-5":{"dueDate":"","manager":""},"1-6":{"dueDate":"","manager":""},"1-7":{"dueDate":"","manager":""},"7-1":{"dueDate":"","manager":""},"8-1":{"dueDate":"","manager":""}}</t>
  </si>
  <si>
    <t>업체명</t>
  </si>
  <si>
    <t>담당자</t>
  </si>
  <si>
    <t>첨부파일</t>
  </si>
  <si>
    <t>상태</t>
  </si>
  <si>
    <t>2026. 2. 13. PM 2:35:37</t>
  </si>
  <si>
    <t>제출일</t>
  </si>
  <si>
    <t>사무동 3층 증축 공사</t>
  </si>
  <si>
    <t>{"1-1":{"dueDate":"2026-02-19","manager":"이호성"},"1-2":{"dueDate":"2026-02-26","manager":""},"2-1":{"dueDate":"","manager":""},"1-3":{"dueDate":"","manager":""},"3-1":{"dueDate":"","manager":""},"1-4":{"dueDate":"","manager":""},"1-5":{"dueDate":"","manager":""},"1-6":{"dueDate":"","manager":""},"7-1":{"dueDate":"","manager":""},"1-7":{"dueDate":"","manager":""},"8-1":{"dueDate":"","manager":""}}</t>
  </si>
  <si>
    <t>2026-04-03 ~ 2026-04-29</t>
  </si>
  <si>
    <t>후제종합건설</t>
  </si>
  <si>
    <t>[{"name":"[예시] 작성 예시.pdf","url":"https://drive.google.com/file/d/19pi3q5eP2_5JVtNdWFfd4lfbKNJfD-mA/view?usp=drivesdk"}]</t>
  </si>
  <si>
    <t>확인완료</t>
  </si>
  <si>
    <t>2026. 2. 13. PM 2:37:11</t>
  </si>
  <si>
    <t>창녕공장 공장동 천장 방수 공사</t>
  </si>
  <si>
    <t>2026-04-20 ~ 2026-04-30</t>
  </si>
  <si>
    <t>창조산업개발</t>
  </si>
  <si>
    <t>{"1-1":{"dueDate":"2026-02-19","manager":"이호성"},"1-2":{"dueDate":"2026-02-26","manager":"이호성"},"2-1":{"dueDate":"","manager":""},"1-3":{"dueDate":"","manager":""},"3-1":{"dueDate":"","manager":""},"1-4":{"dueDate":"","manager":""},"1-5":{"dueDate":"","manager":""},"1-6":{"dueDate":"","manager":""},"7-1":{"dueDate":"","manager":""},"1-7":{"dueDate":"","manager":""},"8-1":{"dueDate":"","manager":""}}</t>
  </si>
  <si>
    <t>[{"name":"적격수급업체(후제건설).pdf","url":"https://drive.google.com/file/d/1ZYL81DfqmN533BdH62AAMMt-WeoneAE6/view?usp=drivesdk"}]</t>
  </si>
  <si>
    <t>2026. 2. 13. PM 2:38:51</t>
  </si>
  <si>
    <t>{"1-1":{"dueDate":"2026-02-19","manager":"이호성"},"1-2":{"dueDate":"2026-02-26","manager":"이호성"},"2-1":{"dueDate":"","manager":"이호성"},"1-3":{"dueDate":"","manager":"이호성"},"3-1":{"dueDate":"","manager":"이호성"},"1-4":{"dueDate":"","manager":"이호성"},"1-5":{"dueDate":"","manager":"이호성"},"1-6":{"dueDate":"","manager":"이호성"},"7-1":{"dueDate":"","manager":"이호성"},"1-7":{"dueDate":"","manager":"이호성"},"8-1":{"dueDate":"","manager":"이호성"}}</t>
  </si>
  <si>
    <t>2026. 2. 13. PM 2:39:12</t>
  </si>
  <si>
    <t>{"1-1":{"dueDate":"2026-02-19","manager":"이호성"},"1-2":{"dueDate":"2026-02-26","manager":"이호성"},"2-1":{"dueDate":"2026-02-26","manager":"이호성"},"1-3":{"dueDate":"2026-02-19","manager":"이호성"},"3-1":{"dueDate":"2026-03-04","manager":"이호성"},"1-4":{"dueDate":"2026-03-04","manager":"이호성"},"1-5":{"dueDate":"2026-02-23","manager":"이호성"},"1-6":{"dueDate":"2026-03-02","manager":"이호성"},"7-1":{"dueDate":"2026-02-24","manager":"이호성"},"1-7":{"dueDate":"2026-02-25","manager":"이호성"},"8-1":{"dueDate":"2026-02-25"</t>
  </si>
  <si>
    <t>2026. 2. 13. PM 2:41:57</t>
  </si>
  <si>
    <t>2026. 2. 13. PM 2:48:54</t>
  </si>
  <si>
    <t>2026. 2. 13. PM 2:49:20</t>
  </si>
  <si>
    <t>2026. 2. 19. AM 10:08:46</t>
  </si>
  <si>
    <t>{"1-1":{"dueDate":"2026-02-19","manager":"이호성"},"1-2":{"dueDate":"2026-02-26","manager":"이호성"},"2-1":{"dueDate":"2026-02-26","manager":"이호성"},"3-1":{"dueDate":"2026-03-04","manager":"이호성"},"1-3":{"dueDate":"2026-02-19","manager":"이호성"},"1-4":{"dueDate":"2026-03-04","manager":"이호성"},"1-5":{"dueDate":"2026-02-23","manager":"이호성"},"1-6":{"dueDate":"2026-03-02","manager":"이호성"},"1-7":{"dueDate":"2026-02-25","manager":"이호성"},"7-1":{"dueDate":"2026-02-24","manager":"이호성"},"8-1":{"dueDate":"2026-02-25"</t>
  </si>
  <si>
    <t>2026. 2. 19. AM 10:13:22</t>
  </si>
  <si>
    <t>2026. 2. 20. AM 11:43:58</t>
  </si>
  <si>
    <t>[{"stepIndex":0,"hazard":"hi (안녕)","riskLevel":"M","measure":"","code":"1-1","source":"feedback"}]</t>
  </si>
  <si>
    <t>2026. 2. 20. AM 11:44:04</t>
  </si>
  <si>
    <t>[{"stepIndex":0,"hazard":"hi (안녕)","riskLevel":"M","measure":"ㅇㅇㅇㅇㅇㅇㅇㅇㅇㅇㅇㅇ","code":"1-1","source":"feedback"}]</t>
  </si>
  <si>
    <t>2026. 2. 20. AM 11:45:25</t>
  </si>
  <si>
    <t>2026. 2. 20. PM 12:46:17</t>
  </si>
  <si>
    <t>2026. 2. 20. PM 12:46:21</t>
  </si>
  <si>
    <t>Results</t>
  </si>
  <si>
    <t>2026. 2. 20. PM 12:48:08</t>
  </si>
  <si>
    <t>[{"stepIndex":0,"hazard":"hi (안녕)","riskLevel":"L","measure":"ㅎㅎㅎ","code":"","source":"feedback"}]</t>
  </si>
  <si>
    <t>2026. 2. 20. PM 1:02:50</t>
  </si>
  <si>
    <t>[{"stepIndex":0,"hazard":"hi (안녕)","riskLevel":"H","measure":"ㅎㅎㅎ","code":"1-1","source":"feedback"}]</t>
  </si>
  <si>
    <t>2026. 2. 20. PM 1:21:28</t>
  </si>
  <si>
    <t>[{"stepIndex":0,"hazard":"이것은 근로자 의견 입니다.","riskLevel":"H","measure":"ㅎㅎㅎ","code":"1-1","source":"feedback"},{"stepIndex":0,"hazard":"ㅎㅎㅎㅎㅎㅎㅎㅎㅎㅎ","riskLevel":"L","measure":"ㅎㅎㅎㅎㅎㅎㅎㅎ","code":"","source":""}]</t>
  </si>
  <si>
    <t>2026. 2. 20. PM 1:41:56</t>
  </si>
  <si>
    <t>[{"stepIndex":0,"hazard":"이것은 근로자 의견 입니다.","riskLevel":"H","measure":"ㅎㅎㅎ","code":"1-1","source":"feedback"},{"stepIndex":0,"hazard":"ㅎㅎㅎㅎㅎㅎㅎㅎㅎㅎ","riskLevel":"L","measure":"ㅎㅎㅎㅎㅎㅎㅎㅎ","code":"","source":""},{"stepIndex":0,"hazard":"길 가다가 넘어질뻔했음","riskLevel":"L","measure":"","code":"","source":"feedback"},{"stepIndex":0,"hazard":"보호구 미착용에 의한 낙하물 맞음 위험","riskLevel":"L","measure":"","code":"","source":"feedback"},{"stepIndex":0,"hazard":"차량 급감속에 의한 충돌 위험","riskLevel":"L","measure":"","code":"","sour</t>
  </si>
  <si>
    <t>2026. 2. 20. PM 2:16:15</t>
  </si>
  <si>
    <t>[{"stepIndex":0,"hazard":"이것은 근로자 의견 입니다.","riskLevel":"L","measure":"","code":"","source":"feedback"},{"stepIndex":0,"hazard":"ㅎㅎㅎㅎㅎㅎㅎㅎㅎㅎ","riskLevel":"L","measure":"","code":"","source":""},{"stepIndex":0,"hazard":"길 가다가 넘어질뻔했음","riskLevel":"L","measure":"","code":"","source":"feedback"},{"stepIndex":0,"hazard":"보호구 미착용에 의한 낙하물 맞음 위험","riskLevel":"L","measure":"","code":"","source":"feedback"},{"stepIndex":0,"hazard":"차량 급감속에 의한 충돌 위험","riskLevel":"L","measure":"","code":"","source":"feedback"</t>
  </si>
  <si>
    <t>2026. 2. 20. PM 2:18:03</t>
  </si>
  <si>
    <t>2026. 2. 20. PM 2:26:07</t>
  </si>
  <si>
    <t>서식명</t>
  </si>
  <si>
    <t>분류</t>
  </si>
  <si>
    <t>[{"stepIndex":0,"hazard":"바닥 불량으로 인한 넘어짐 위험","riskLevel":"M","measure":"","code":"1-1","source":"feedback"}]</t>
  </si>
  <si>
    <t>첨부URL</t>
  </si>
  <si>
    <t>등록일</t>
  </si>
  <si>
    <t>2026. 2. 20. PM 2:26:21</t>
  </si>
  <si>
    <t>다운횟수</t>
  </si>
  <si>
    <t>적격수급업체 안전보건평가 서류</t>
  </si>
  <si>
    <t>[{"stepIndex":0,"hazard":"바닥 불량으로 인한 넘어짐 위험","riskLevel":"M","measure":"중입니다.","code":"1-1","source":"feedback"}]</t>
  </si>
  <si>
    <t>실시 안내를 참고하여 작성한 후, 외부 업체 게시판에 업로드 바랍니다.</t>
  </si>
  <si>
    <t>[{"name":"[안내] 실시 안내.pdf","url":"https://drive.google.com/file/d/1yJrn8vMpbVecJmkncBkSlH3D-AkMSBzo/view"},{"name":"[양식] 서류 양식.docx","url":"https://drive.google.com/file/d/1JSsyGBNNgGGkLV5LzI3IfOvkzv24LT4K/view"},{"name":"[예시] 작성 예시.pdf","url":"https://drive.google.com/file/d/1Ac4wvvkE5qquy1k9uYjB0CmsfJxFKs06/view"}]</t>
  </si>
  <si>
    <t>2026. 2. 20. PM 4:13:32</t>
  </si>
  <si>
    <t>2026. 2. 20. PM 4:20:14</t>
  </si>
  <si>
    <t>2026. 2. 20. PM 4:20:32</t>
  </si>
  <si>
    <t>2026. 2. 20. PM 4:25:31</t>
  </si>
  <si>
    <t>2026. 2. 20. PM 4:31:25</t>
  </si>
  <si>
    <t>2026. 2. 20. PM 4:57:03</t>
  </si>
  <si>
    <t>[{"stepIndex":0,"hazard":"분전반 만지다가 감전될 뻔 했음","riskLevel":"M","measure":"ㅓㅓㅓㅓㅓj","code":"1-1","source":"","feedbackItemId":""},{"stepIndex":0,"hazard":"조선소에서  추락 위험 있음","riskLevel":"M","measure":"ㅓㅎㅎ","code":"1-2","source":"","feedbackItemId":""},{"stepIndex":0,"hazard":"yes, i experienced many risk (네, 저는 많은 위험을 경험했습니다.)","riskLevel":"L","measure":"","code":"","source":"","feedbackItemId":""},{"stepIndex":0,"hazard":"노후 설비 및 파손 공구 교체","riskLevel":"L","measure":"","code":"","source":"","feedbackI</t>
  </si>
  <si>
    <t>2026. 5. 17. 오후 10:36:19</t>
  </si>
  <si>
    <t>[{"stepIndex":0,"hazard":"","riskLevel":"M","measure":"ㅓㅓㅓㅓㅓj","code":"1-1","source":"","feedbackItemId":""},{"stepIndex":0,"hazard":"조선소에서  추락 위험","riskLevel":"M","measure":"ㅓㅎㅎ","code":"1-2","source":"","feedbackItemId":""},{"stepIndex":0,"hazard":"yes, i experienced many risk (네, 저는 많은 위험을 경험했습니다.)","riskLevel":"L","measure":"","code":"","source":"","feedbackItemId":""},{"stepIndex":0,"hazard":"노후 설비 및 파손 공구 교체","riskLevel":"L","measure":"","code":"","source":"","feedbackItemId":""},{"stepInd</t>
  </si>
  <si>
    <t>2026. 5. 17. 오후 10:51:40</t>
  </si>
  <si>
    <t>[{"stepIndex":0,"hazard":"조선소에서  추락 위험","riskLevel":"M","measure":"ㅓㅎㅎ","code":"1-2","source":"","feedbackItemId":""},{"stepIndex":0,"hazard":"yes, i experienced many risk (네, 저는 많은 위험을 경험했습니다.)","riskLevel":"L","measure":"","code":"","source":"","feedbackItemId":""},{"stepIndex":0,"hazard":"노후 설비 및 파손 공구 교체","riskLevel":"L","measure":"","code":"","source":"","feedbackItemId":""},{"stepIndex":0,"hazard":"불안전한 작업 환경 개선","riskLevel":"L","measure":"","code":"","source":"","feedbackItemId":""},{"ste</t>
  </si>
  <si>
    <t>2026. 5. 17. 오후 11:01:20</t>
  </si>
  <si>
    <t>[{"stepIndex":0,"hazard":"분전반 감전 위험","riskLevel":"H","measure":"","code":"1-1","source":"feedback","feedbackItemId":"q1_nearMiss_0"},{"stepIndex":0,"hazard":"계단에서 넘어질뻔함","riskLevel":"M","measure":"","code":"1-2","source":"feedback","feedbackItemId":"q1_nearMiss_1"},{"stepIndex":0,"hazard":"I experienced skid accident (저는 미끄러짐 사고를 경험했습니다.)","riskLevel":"L","measure":"","code":"","source":"feedback","feedbackItemId":"q1_nearMiss_2"},{"stepIndex":0,"hazard":"지게차 등 운반기계 충돌 위험","riskLevel":"L","measu</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</si>
</sst>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h:mm:ss"/>
    <numFmt numFmtId="165" formatCode="yyyy. mm. dd"/>
    <numFmt numFmtId="166" formatCode="yyyy-mm-dd"/>
    <numFmt numFmtId="167" formatCode="yyyy-mm"/>
    <numFmt numFmtId="168" formatCode="yyyy-mm-dd h:mm:ss"/>
    <numFmt numFmtId="169" formatCode="yyyy-m"/>
    <numFmt numFmtId="170" formatCode="0&quot;년&quot;"/>
    <numFmt numFmtId="171" formatCode="yyyy&quot;. &quot;mm&quot;. &quot;dd"/>
    <numFmt numFmtId="172" formatCode="&quot;₩&quot;#,##0"/>
    <numFmt numFmtId="173" formatCode="yyyy-mm-dd h:mm"/>
    <numFmt numFmtId="174" formatCode="d/m/yyyy, am/pm h:mm:ss"/>
  </numFmts>
  <fonts count="21">
    <font>
      <sz val="10.0"/>
      <color rgb="FF000000"/>
      <name val="Arial"/>
      <scheme val="minor"/>
    </font>
    <font>
      <b/>
      <color theme="1"/>
      <name val="Arial"/>
      <scheme val="minor"/>
    </font>
    <font>
      <color theme="1"/>
      <name val="Arial"/>
      <scheme val="minor"/>
    </font>
    <font>
      <sz val="10.0"/>
      <color theme="1"/>
      <name val="Arial"/>
      <scheme val="minor"/>
    </font>
    <font>
      <u/>
      <color rgb="FF0000FF"/>
    </font>
    <font>
      <u/>
      <color rgb="FF0000FF"/>
    </font>
    <font>
      <color theme="1"/>
      <name val="Arial"/>
    </font>
    <font>
      <color rgb="FFFFFFFF"/>
      <name val="Arial"/>
    </font>
    <font>
      <color rgb="FF1F1F1F"/>
      <name val="Google Sans Text"/>
    </font>
    <font>
      <u/>
      <color rgb="FF0000FF"/>
    </font>
    <font>
      <u/>
      <color rgb="FF0000FF"/>
    </font>
    <font/>
    <font>
      <b/>
      <sz val="9.0"/>
      <color theme="1"/>
      <name val="Noto Sans KR"/>
    </font>
    <font>
      <sz val="8.0"/>
      <color theme="1"/>
      <name val="Noto Sans KR"/>
    </font>
    <font>
      <sz val="11.0"/>
      <color rgb="FF444746"/>
      <name val="&quot;Google Sans Text&quot;"/>
    </font>
    <font>
      <sz val="11.0"/>
      <color rgb="FF1F1F1F"/>
      <name val="Arial"/>
    </font>
    <font>
      <color rgb="FF1F1F1F"/>
      <name val="&quot;Google Sans Text&quot;"/>
    </font>
    <font>
      <color rgb="FFFFFFFF"/>
      <name val="Google Sans Text"/>
    </font>
    <font>
      <b/>
      <color rgb="FF1F1F1F"/>
      <name val="Google Sans Text"/>
    </font>
    <font>
      <b/>
      <color rgb="FFFFFFFF"/>
      <name val="Arial"/>
    </font>
    <font>
      <b/>
      <color rgb="FF1E40AF"/>
      <name val="Arial"/>
      <scheme val="minor"/>
    </font>
  </fonts>
  <fills count="9">
    <fill>
      <patternFill patternType="none"/>
    </fill>
    <fill>
      <patternFill patternType="lightGray"/>
    </fill>
    <fill>
      <patternFill patternType="solid">
        <fgColor rgb="FFF3F4F6"/>
        <bgColor rgb="FFF3F4F6"/>
      </patternFill>
    </fill>
    <fill>
      <patternFill patternType="solid">
        <fgColor rgb="FFEFEFEF"/>
        <bgColor rgb="FFEFEFEF"/>
      </patternFill>
    </fill>
    <fill>
      <patternFill patternType="solid">
        <fgColor rgb="FF000000"/>
        <bgColor rgb="FF000000"/>
      </patternFill>
    </fill>
    <fill>
      <patternFill patternType="solid">
        <fgColor rgb="FFFFF3CD"/>
        <bgColor rgb="FFFFF3CD"/>
      </patternFill>
    </fill>
    <fill>
      <patternFill patternType="solid">
        <fgColor rgb="FFDBEAFE"/>
        <bgColor rgb="FFDBEAFE"/>
      </patternFill>
    </fill>
    <fill>
      <patternFill patternType="solid">
        <fgColor rgb="FFD9D9D9"/>
        <bgColor rgb="FFD9D9D9"/>
      </patternFill>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0" fontId="2" numFmtId="0" xfId="0" applyAlignment="1" applyFont="1">
      <alignment horizontal="center"/>
    </xf>
    <xf borderId="0" fillId="2" fontId="1" numFmtId="164" xfId="0" applyAlignment="1" applyFont="1" applyNumberFormat="1">
      <alignment readingOrder="0"/>
    </xf>
    <xf borderId="0" fillId="0" fontId="2" numFmtId="0" xfId="0" applyAlignment="1" applyFont="1">
      <alignment horizontal="center" readingOrder="0"/>
    </xf>
    <xf borderId="0" fillId="0" fontId="3" numFmtId="0" xfId="0" applyAlignment="1" applyFont="1">
      <alignment readingOrder="0"/>
    </xf>
    <xf borderId="0" fillId="0" fontId="2" numFmtId="165" xfId="0" applyAlignment="1" applyFont="1" applyNumberFormat="1">
      <alignment horizontal="center" readingOrder="0"/>
    </xf>
    <xf borderId="0" fillId="0" fontId="4" numFmtId="0" xfId="0" applyAlignment="1" applyFont="1">
      <alignment readingOrder="0"/>
    </xf>
    <xf borderId="0" fillId="0" fontId="2" numFmtId="0" xfId="0" applyAlignment="1" applyFont="1">
      <alignment readingOrder="0"/>
    </xf>
    <xf borderId="0" fillId="0" fontId="3" numFmtId="0" xfId="0" applyAlignment="1" applyFont="1">
      <alignment horizontal="left" readingOrder="0"/>
    </xf>
    <xf borderId="0" fillId="0" fontId="2" numFmtId="166"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20" xfId="0" applyAlignment="1" applyFont="1" applyNumberFormat="1">
      <alignment readingOrder="0"/>
    </xf>
    <xf borderId="0" fillId="0" fontId="5" numFmtId="0" xfId="0" applyFont="1"/>
    <xf borderId="0" fillId="2" fontId="1" numFmtId="14" xfId="0" applyAlignment="1" applyFont="1" applyNumberFormat="1">
      <alignment readingOrder="0"/>
    </xf>
    <xf quotePrefix="1" borderId="0" fillId="0" fontId="2" numFmtId="0" xfId="0" applyAlignment="1" applyFont="1">
      <alignment readingOrder="0"/>
    </xf>
    <xf borderId="0" fillId="3" fontId="6" numFmtId="0" xfId="0" applyAlignment="1" applyFill="1" applyFont="1">
      <alignment horizontal="center" readingOrder="0" vertical="center"/>
    </xf>
    <xf borderId="1" fillId="4" fontId="7" numFmtId="0" xfId="0" applyAlignment="1" applyBorder="1" applyFill="1" applyFont="1">
      <alignment horizontal="center" readingOrder="0"/>
    </xf>
    <xf borderId="0" fillId="0" fontId="2" numFmtId="0" xfId="0" applyAlignment="1" applyFont="1">
      <alignment horizontal="center" vertical="center"/>
    </xf>
    <xf borderId="0" fillId="0" fontId="8" numFmtId="0" xfId="0" applyAlignment="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horizontal="center" readingOrder="0" vertical="center"/>
    </xf>
    <xf borderId="1" fillId="0" fontId="6" numFmtId="0" xfId="0" applyAlignment="1" applyBorder="1" applyFont="1">
      <alignment horizontal="center" readingOrder="0" vertical="bottom"/>
    </xf>
    <xf borderId="1" fillId="0" fontId="6" numFmtId="0" xfId="0" applyAlignment="1" applyBorder="1" applyFont="1">
      <alignment horizontal="center" readingOrder="0" vertical="top"/>
    </xf>
    <xf borderId="0" fillId="0" fontId="6" numFmtId="0" xfId="0" applyAlignment="1" applyFont="1">
      <alignment readingOrder="0" vertical="bottom"/>
    </xf>
    <xf borderId="0" fillId="0" fontId="6" numFmtId="167" xfId="0" applyAlignment="1" applyFont="1" applyNumberFormat="1">
      <alignment horizontal="center" readingOrder="0" vertical="center"/>
    </xf>
    <xf borderId="0" fillId="0" fontId="6" numFmtId="0" xfId="0" applyAlignment="1" applyFont="1">
      <alignment vertical="bottom"/>
    </xf>
    <xf borderId="0" fillId="0" fontId="2" numFmtId="0" xfId="0" applyAlignment="1" applyFont="1">
      <alignment horizontal="center" readingOrder="0" vertical="center"/>
    </xf>
    <xf borderId="0" fillId="0" fontId="2" numFmtId="168" xfId="0" applyAlignment="1" applyFont="1" applyNumberFormat="1">
      <alignment horizontal="center" readingOrder="0" vertical="center"/>
    </xf>
    <xf borderId="0" fillId="0" fontId="2" numFmtId="0" xfId="0" applyAlignment="1" applyFont="1">
      <alignment horizontal="left" readingOrder="0" vertical="center"/>
    </xf>
    <xf borderId="0" fillId="0" fontId="9" numFmtId="0" xfId="0" applyAlignment="1" applyFont="1">
      <alignment horizontal="center" vertical="center"/>
    </xf>
    <xf borderId="0" fillId="0" fontId="6" numFmtId="169" xfId="0" applyAlignment="1" applyFont="1" applyNumberFormat="1">
      <alignment horizontal="center" readingOrder="0" vertical="center"/>
    </xf>
    <xf borderId="0" fillId="0" fontId="10" numFmtId="0" xfId="0" applyAlignment="1" applyFont="1">
      <alignment horizontal="center" readingOrder="0" vertical="center"/>
    </xf>
    <xf borderId="0" fillId="0" fontId="2" numFmtId="0" xfId="0" applyAlignment="1" applyFont="1">
      <alignment horizontal="left" vertical="center"/>
    </xf>
    <xf borderId="0" fillId="0" fontId="6" numFmtId="0" xfId="0" applyAlignment="1" applyFont="1">
      <alignment horizontal="center" readingOrder="0" vertical="bottom"/>
    </xf>
    <xf borderId="1" fillId="2" fontId="1" numFmtId="0" xfId="0" applyAlignment="1" applyBorder="1" applyFont="1">
      <alignment horizontal="center" readingOrder="0"/>
    </xf>
    <xf borderId="0" fillId="0" fontId="2" numFmtId="0" xfId="0" applyFont="1"/>
    <xf borderId="2" fillId="0" fontId="2" numFmtId="0" xfId="0" applyAlignment="1" applyBorder="1" applyFont="1">
      <alignment horizontal="center" readingOrder="0" vertical="center"/>
    </xf>
    <xf borderId="1" fillId="0" fontId="2" numFmtId="0" xfId="0" applyBorder="1" applyFont="1"/>
    <xf borderId="1" fillId="0" fontId="2" numFmtId="0" xfId="0" applyAlignment="1" applyBorder="1" applyFont="1">
      <alignment readingOrder="0"/>
    </xf>
    <xf borderId="3" fillId="0" fontId="11" numFmtId="0" xfId="0" applyBorder="1" applyFont="1"/>
    <xf borderId="1" fillId="0" fontId="2" numFmtId="0" xfId="0" applyBorder="1" applyFont="1"/>
    <xf borderId="1" fillId="0" fontId="2" numFmtId="166" xfId="0" applyBorder="1" applyFont="1" applyNumberFormat="1"/>
    <xf borderId="4" fillId="0" fontId="11" numFmtId="0" xfId="0" applyBorder="1" applyFont="1"/>
    <xf borderId="1" fillId="5" fontId="1" numFmtId="0" xfId="0" applyAlignment="1" applyBorder="1" applyFill="1" applyFont="1">
      <alignment readingOrder="0"/>
    </xf>
    <xf borderId="1" fillId="0" fontId="2" numFmtId="166" xfId="0" applyAlignment="1" applyBorder="1" applyFont="1" applyNumberFormat="1">
      <alignment readingOrder="0"/>
    </xf>
    <xf borderId="1" fillId="6" fontId="1" numFmtId="0" xfId="0" applyAlignment="1" applyBorder="1" applyFill="1" applyFont="1">
      <alignment readingOrder="0"/>
    </xf>
    <xf borderId="0" fillId="0" fontId="2" numFmtId="164" xfId="0" applyAlignment="1" applyFont="1" applyNumberFormat="1">
      <alignment horizontal="center" readingOrder="0"/>
    </xf>
    <xf borderId="0" fillId="0" fontId="2" numFmtId="0" xfId="0" applyAlignment="1" applyFont="1">
      <alignment horizontal="center" readingOrder="0"/>
    </xf>
    <xf borderId="5" fillId="0" fontId="12" numFmtId="0" xfId="0" applyAlignment="1" applyBorder="1" applyFont="1">
      <alignment horizontal="center" vertical="center"/>
    </xf>
    <xf borderId="6" fillId="0" fontId="11" numFmtId="0" xfId="0" applyBorder="1" applyFont="1"/>
    <xf borderId="2" fillId="0" fontId="12" numFmtId="0" xfId="0" applyAlignment="1" applyBorder="1" applyFont="1">
      <alignment horizontal="center" vertical="center"/>
    </xf>
    <xf borderId="7" fillId="0" fontId="12" numFmtId="0" xfId="0" applyAlignment="1" applyBorder="1" applyFont="1">
      <alignment horizontal="center" vertical="center"/>
    </xf>
    <xf borderId="8" fillId="0" fontId="11" numFmtId="0" xfId="0" applyBorder="1" applyFont="1"/>
    <xf borderId="9" fillId="0" fontId="11" numFmtId="0" xfId="0" applyBorder="1" applyFont="1"/>
    <xf borderId="1" fillId="7" fontId="12" numFmtId="0" xfId="0" applyAlignment="1" applyBorder="1" applyFill="1" applyFont="1">
      <alignment horizontal="center" vertical="bottom"/>
    </xf>
    <xf borderId="10" fillId="0" fontId="11" numFmtId="0" xfId="0" applyBorder="1" applyFont="1"/>
    <xf borderId="11" fillId="0" fontId="11" numFmtId="0" xfId="0" applyBorder="1" applyFont="1"/>
    <xf borderId="1" fillId="0" fontId="12" numFmtId="0" xfId="0" applyAlignment="1" applyBorder="1" applyFont="1">
      <alignment horizontal="center" vertical="center"/>
    </xf>
    <xf borderId="1" fillId="0" fontId="13" numFmtId="0" xfId="0" applyAlignment="1" applyBorder="1" applyFont="1">
      <alignment horizontal="center"/>
    </xf>
    <xf borderId="1" fillId="0" fontId="13" numFmtId="170" xfId="0" applyAlignment="1" applyBorder="1" applyFont="1" applyNumberFormat="1">
      <alignment horizontal="center"/>
    </xf>
    <xf borderId="1" fillId="0" fontId="13" numFmtId="0" xfId="0" applyBorder="1" applyFont="1"/>
    <xf borderId="2" fillId="0" fontId="13"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3" numFmtId="171" xfId="0" applyAlignment="1" applyBorder="1" applyFont="1" applyNumberFormat="1">
      <alignment horizontal="center" readingOrder="0"/>
    </xf>
    <xf borderId="1" fillId="0" fontId="13" numFmtId="170" xfId="0" applyAlignment="1" applyBorder="1" applyFont="1" applyNumberFormat="1">
      <alignment horizontal="center" vertical="center"/>
    </xf>
    <xf borderId="1" fillId="0" fontId="13" numFmtId="172" xfId="0" applyAlignment="1" applyBorder="1" applyFont="1" applyNumberFormat="1">
      <alignment horizontal="center" readingOrder="0" vertical="center"/>
    </xf>
    <xf borderId="1" fillId="0" fontId="6" numFmtId="0" xfId="0" applyAlignment="1" applyBorder="1" applyFont="1">
      <alignment horizontal="center" vertical="center"/>
    </xf>
    <xf borderId="1" fillId="0" fontId="13" numFmtId="0" xfId="0" applyAlignment="1" applyBorder="1" applyFont="1">
      <alignment horizontal="center" vertical="center"/>
    </xf>
    <xf borderId="1" fillId="0" fontId="13" numFmtId="171" xfId="0" applyAlignment="1" applyBorder="1" applyFont="1" applyNumberFormat="1">
      <alignment horizontal="center"/>
    </xf>
    <xf borderId="1" fillId="0" fontId="13" numFmtId="172" xfId="0" applyAlignment="1" applyBorder="1" applyFont="1" applyNumberFormat="1">
      <alignment horizontal="center" vertical="center"/>
    </xf>
    <xf borderId="1" fillId="0" fontId="13" numFmtId="171" xfId="0" applyAlignment="1" applyBorder="1" applyFont="1" applyNumberFormat="1">
      <alignment horizontal="center" readingOrder="0" vertical="center"/>
    </xf>
    <xf borderId="1" fillId="0" fontId="13" numFmtId="171" xfId="0" applyAlignment="1" applyBorder="1" applyFont="1" applyNumberFormat="1">
      <alignment horizontal="center" vertical="center"/>
    </xf>
    <xf borderId="1" fillId="0" fontId="13" numFmtId="165" xfId="0" applyAlignment="1" applyBorder="1" applyFont="1" applyNumberFormat="1">
      <alignment horizontal="center" readingOrder="0" vertical="center"/>
    </xf>
    <xf borderId="1" fillId="0" fontId="13" numFmtId="170" xfId="0" applyAlignment="1" applyBorder="1" applyFont="1" applyNumberFormat="1">
      <alignment horizontal="center" readingOrder="0"/>
    </xf>
    <xf borderId="1" fillId="0" fontId="6" numFmtId="0" xfId="0" applyAlignment="1" applyBorder="1" applyFont="1">
      <alignment vertical="bottom"/>
    </xf>
    <xf borderId="1" fillId="0" fontId="6" numFmtId="0" xfId="0" applyAlignment="1" applyBorder="1" applyFont="1">
      <alignment horizontal="center" readingOrder="0" vertical="center"/>
    </xf>
    <xf borderId="2" fillId="0" fontId="13" numFmtId="0" xfId="0" applyAlignment="1" applyBorder="1" applyFont="1">
      <alignment horizontal="center" vertical="center"/>
    </xf>
    <xf borderId="1" fillId="0" fontId="13" numFmtId="166" xfId="0" applyAlignment="1" applyBorder="1" applyFont="1" applyNumberFormat="1">
      <alignment horizontal="center" vertical="center"/>
    </xf>
    <xf borderId="0" fillId="0" fontId="13" numFmtId="171" xfId="0" applyAlignment="1" applyFont="1" applyNumberFormat="1">
      <alignment horizontal="center" vertical="center"/>
    </xf>
    <xf borderId="0" fillId="0" fontId="2" numFmtId="165" xfId="0" applyAlignment="1" applyFont="1" applyNumberFormat="1">
      <alignment horizontal="center" readingOrder="0" vertical="center"/>
    </xf>
    <xf borderId="1" fillId="0" fontId="13" numFmtId="166" xfId="0" applyAlignment="1" applyBorder="1" applyFont="1" applyNumberFormat="1">
      <alignment horizontal="center" readingOrder="0" vertical="center"/>
    </xf>
    <xf borderId="5" fillId="0" fontId="13" numFmtId="0" xfId="0" applyAlignment="1" applyBorder="1" applyFont="1">
      <alignment horizontal="center" readingOrder="0" vertical="center"/>
    </xf>
    <xf borderId="12" fillId="0" fontId="11" numFmtId="0" xfId="0" applyBorder="1" applyFont="1"/>
    <xf borderId="13" fillId="0" fontId="11" numFmtId="0" xfId="0" applyBorder="1" applyFont="1"/>
    <xf borderId="7" fillId="0" fontId="13" numFmtId="0" xfId="0" applyAlignment="1" applyBorder="1" applyFont="1">
      <alignment horizontal="center" vertical="center"/>
    </xf>
    <xf borderId="0" fillId="0" fontId="2" numFmtId="173" xfId="0" applyAlignment="1" applyFont="1" applyNumberFormat="1">
      <alignment readingOrder="0"/>
    </xf>
    <xf borderId="0" fillId="0" fontId="6" numFmtId="0" xfId="0" applyAlignment="1" applyFont="1">
      <alignment horizontal="center" vertical="center"/>
    </xf>
    <xf borderId="0" fillId="0" fontId="2" numFmtId="166" xfId="0" applyAlignment="1" applyFont="1" applyNumberFormat="1">
      <alignment horizontal="center" readingOrder="0" shrinkToFit="0" vertical="center" wrapText="0"/>
    </xf>
    <xf borderId="0" fillId="0" fontId="2" numFmtId="2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14" numFmtId="0" xfId="0" applyAlignment="1" applyFont="1">
      <alignment readingOrder="0"/>
    </xf>
    <xf borderId="0" fillId="0" fontId="15" numFmtId="0" xfId="0" applyAlignment="1" applyFont="1">
      <alignment readingOrder="0" shrinkToFit="0" wrapText="0"/>
    </xf>
    <xf borderId="0" fillId="0" fontId="16" numFmtId="0" xfId="0" applyAlignment="1" applyFont="1">
      <alignment readingOrder="0"/>
    </xf>
    <xf borderId="0" fillId="0" fontId="16" numFmtId="0" xfId="0" applyFont="1"/>
    <xf borderId="0" fillId="0" fontId="2" numFmtId="166" xfId="0" applyAlignment="1" applyFont="1" applyNumberFormat="1">
      <alignment horizontal="center" readingOrder="0" vertical="center"/>
    </xf>
    <xf borderId="0" fillId="4" fontId="17" numFmtId="0" xfId="0" applyAlignment="1" applyFont="1">
      <alignment horizontal="center" vertical="bottom"/>
    </xf>
    <xf borderId="0" fillId="4" fontId="17" numFmtId="0" xfId="0" applyAlignment="1" applyFont="1">
      <alignment horizontal="center" vertical="bottom"/>
    </xf>
    <xf borderId="0" fillId="0" fontId="18" numFmtId="0" xfId="0" applyAlignment="1" applyFont="1">
      <alignment horizontal="center" vertical="bottom"/>
    </xf>
    <xf borderId="0" fillId="0" fontId="8" numFmtId="0" xfId="0" applyAlignment="1" applyFont="1">
      <alignment horizontal="center" vertical="bottom"/>
    </xf>
    <xf borderId="0" fillId="8" fontId="6" numFmtId="0" xfId="0" applyAlignment="1" applyFill="1" applyFont="1">
      <alignment horizontal="center" vertical="bottom"/>
    </xf>
    <xf borderId="0" fillId="0" fontId="8" numFmtId="0" xfId="0" applyAlignment="1" applyFont="1">
      <alignment horizontal="center" vertical="bottom"/>
    </xf>
    <xf borderId="0" fillId="0" fontId="6" numFmtId="0" xfId="0" applyAlignment="1" applyFont="1">
      <alignment horizontal="center" vertical="bottom"/>
    </xf>
    <xf borderId="0" fillId="0" fontId="18" numFmtId="0" xfId="0" applyAlignment="1" applyFont="1">
      <alignment horizontal="center" vertical="bottom"/>
    </xf>
    <xf borderId="0" fillId="4" fontId="19" numFmtId="0" xfId="0" applyAlignment="1" applyFont="1">
      <alignment horizontal="center" readingOrder="0" vertical="center"/>
    </xf>
    <xf borderId="0" fillId="0" fontId="6" numFmtId="164" xfId="0" applyAlignment="1" applyFont="1" applyNumberFormat="1">
      <alignment horizontal="right" readingOrder="0" vertical="bottom"/>
    </xf>
    <xf borderId="0" fillId="0" fontId="6" numFmtId="164" xfId="0" applyAlignment="1" applyFont="1" applyNumberFormat="1">
      <alignment horizontal="right" vertical="bottom"/>
    </xf>
    <xf borderId="0" fillId="0" fontId="2" numFmtId="174" xfId="0" applyAlignment="1" applyFont="1" applyNumberFormat="1">
      <alignment readingOrder="0"/>
    </xf>
    <xf borderId="0" fillId="6" fontId="20" numFmtId="0" xfId="0" applyAlignment="1" applyFont="1">
      <alignment readingOrder="0"/>
    </xf>
    <xf borderId="0" fillId="0" fontId="2" numFmtId="0" xfId="0" applyAlignment="1" applyFont="1">
      <alignment horizontal="left" shrinkToFit="0" vertical="center" wrapText="0"/>
    </xf>
  </cellXfs>
  <cellStyles count="1">
    <cellStyle xfId="0" name="Normal" builtinId="0"/>
  </cellStyles>
  <dxfs count="3">
    <dxf>
      <font/>
      <fill>
        <patternFill patternType="solid">
          <fgColor rgb="FFF9CB9C"/>
          <bgColor rgb="FFF9CB9C"/>
        </patternFill>
      </fill>
      <border/>
    </dxf>
    <dxf>
      <font>
        <color rgb="FFFFFFFF"/>
      </font>
      <fill>
        <patternFill patternType="solid">
          <fgColor rgb="FFFF0000"/>
          <bgColor rgb="FFFF0000"/>
        </patternFill>
      </fill>
      <border/>
    </dxf>
    <dxf>
      <font>
        <color rgb="FFFFFFFF"/>
      </font>
      <fill>
        <patternFill patternType="solid">
          <fgColor rgb="FF0000FF"/>
          <bgColor rgb="FF00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thumbnail?id=1vL_QGNnrS-AAe60VrAQMdgpLQw9KxRmi&amp;sz=w400" TargetMode="External"/><Relationship Id="rId22" Type="http://schemas.openxmlformats.org/officeDocument/2006/relationships/hyperlink" Target="https://drive.google.com/thumbnail?id=1dh5XvbWNegTih800MzuNYmAhpVvKQUV9&amp;sz=w400" TargetMode="External"/><Relationship Id="rId21" Type="http://schemas.openxmlformats.org/officeDocument/2006/relationships/hyperlink" Target="https://drive.google.com/thumbnail?id=1_-g16p2Bx6v0G3pnwKLVpvpJKSs2mAVq&amp;sz=w400" TargetMode="External"/><Relationship Id="rId24" Type="http://schemas.openxmlformats.org/officeDocument/2006/relationships/hyperlink" Target="https://drive.google.com/thumbnail?id=1q2Re6wovP6HSm-ajhW3B05T_aH-BfZK3&amp;sz=w400" TargetMode="External"/><Relationship Id="rId23" Type="http://schemas.openxmlformats.org/officeDocument/2006/relationships/hyperlink" Target="https://drive.google.com/thumbnail?id=1OHiuy-DtkX6Fi2iNMLygWSG4SURGRqHx&amp;sz=w400" TargetMode="External"/><Relationship Id="rId1" Type="http://schemas.openxmlformats.org/officeDocument/2006/relationships/hyperlink" Target="https://drive.google.com/thumbnail?id=1TmyX_AdYeQ2j6GHOgqVs1jhyQiius7TM&amp;sz=w400" TargetMode="External"/><Relationship Id="rId2" Type="http://schemas.openxmlformats.org/officeDocument/2006/relationships/hyperlink" Target="https://drive.google.com/thumbnail?id=1HTAptNvNJS-z36aSHTHu4HpI_qsyZEMM&amp;sz=w400" TargetMode="External"/><Relationship Id="rId3" Type="http://schemas.openxmlformats.org/officeDocument/2006/relationships/hyperlink" Target="https://drive.google.com/thumbnail?id=1PfU98dh4i_mb16sWcwFMEHx6EITwpohm&amp;sz=w400" TargetMode="External"/><Relationship Id="rId4" Type="http://schemas.openxmlformats.org/officeDocument/2006/relationships/hyperlink" Target="https://drive.google.com/thumbnail?id=1W7-kNFLrksrLXC0HOCkM8CzLyOEUaxgO&amp;sz=w400" TargetMode="External"/><Relationship Id="rId9" Type="http://schemas.openxmlformats.org/officeDocument/2006/relationships/hyperlink" Target="https://drive.google.com/thumbnail?id=15TYQH3mh6bcLg9NA0lSCZRfkV_x0dNA9&amp;sz=w400" TargetMode="External"/><Relationship Id="rId26" Type="http://schemas.openxmlformats.org/officeDocument/2006/relationships/hyperlink" Target="https://drive.google.com/thumbnail?id=148oaDMRCRAoSTt8zUQ5roFORUHEsU8cb&amp;sz=w400" TargetMode="External"/><Relationship Id="rId25" Type="http://schemas.openxmlformats.org/officeDocument/2006/relationships/hyperlink" Target="https://drive.google.com/thumbnail?id=1cAsugqcAnpFJgAmM9N8mXO9RPAA4SBff&amp;sz=w400" TargetMode="External"/><Relationship Id="rId28" Type="http://schemas.openxmlformats.org/officeDocument/2006/relationships/drawing" Target="../drawings/drawing2.xml"/><Relationship Id="rId27" Type="http://schemas.openxmlformats.org/officeDocument/2006/relationships/hyperlink" Target="https://drive.google.com/thumbnail?id=1D5IctoStl0Ij7heMYBfAfF8u5jxFZKeg&amp;sz=w400" TargetMode="External"/><Relationship Id="rId5" Type="http://schemas.openxmlformats.org/officeDocument/2006/relationships/hyperlink" Target="https://drive.google.com/thumbnail?id=1eie7FjuHOBXpKrhRKa92ZAJPjxxMW4dx&amp;sz=w400" TargetMode="External"/><Relationship Id="rId6" Type="http://schemas.openxmlformats.org/officeDocument/2006/relationships/hyperlink" Target="https://drive.google.com/thumbnail?id=1RncmomJhOae5gvu9G2t9856vnmDPrpJW&amp;sz=w400" TargetMode="External"/><Relationship Id="rId7" Type="http://schemas.openxmlformats.org/officeDocument/2006/relationships/hyperlink" Target="https://drive.google.com/thumbnail?id=1kpC3nALBfIfQ91FVJtqCjeybcV7sHXv1&amp;sz=w400" TargetMode="External"/><Relationship Id="rId8" Type="http://schemas.openxmlformats.org/officeDocument/2006/relationships/hyperlink" Target="https://drive.google.com/thumbnail?id=1zGkvVyFsux1K0yfGAa-Dght9q6DUkKbH&amp;sz=w400" TargetMode="External"/><Relationship Id="rId11" Type="http://schemas.openxmlformats.org/officeDocument/2006/relationships/hyperlink" Target="https://drive.google.com/thumbnail?id=1qxijgqKFit2aeBD7cagjFPhNEjVDhVJn&amp;sz=w400" TargetMode="External"/><Relationship Id="rId10" Type="http://schemas.openxmlformats.org/officeDocument/2006/relationships/hyperlink" Target="https://drive.google.com/thumbnail?id=18NadGJblC2ZmiIG8f0x8opWrxnpsGP-T&amp;sz=w400" TargetMode="External"/><Relationship Id="rId13" Type="http://schemas.openxmlformats.org/officeDocument/2006/relationships/hyperlink" Target="https://drive.google.com/thumbnail?id=1FDzF93mLP-i6A7FbsZPa310HX89xYVej&amp;sz=w400" TargetMode="External"/><Relationship Id="rId12" Type="http://schemas.openxmlformats.org/officeDocument/2006/relationships/hyperlink" Target="https://drive.google.com/thumbnail?id=1IYLGtWQNvZjh0scIV7QF693GHgbj-UNS&amp;sz=w400" TargetMode="External"/><Relationship Id="rId15" Type="http://schemas.openxmlformats.org/officeDocument/2006/relationships/hyperlink" Target="https://drive.google.com/thumbnail?id=1rXkW3Oro0MQj75J_-OdwpfnMUaNOBeAI&amp;sz=w400" TargetMode="External"/><Relationship Id="rId14" Type="http://schemas.openxmlformats.org/officeDocument/2006/relationships/hyperlink" Target="https://drive.google.com/thumbnail?id=11doR48SuPbOpsVSCSHX51OTQqKDlT4I1&amp;sz=w400" TargetMode="External"/><Relationship Id="rId17" Type="http://schemas.openxmlformats.org/officeDocument/2006/relationships/hyperlink" Target="https://drive.google.com/thumbnail?id=1dihqDLJyTX3dUcs8RpCLV8stFoSOdHLv&amp;sz=w400" TargetMode="External"/><Relationship Id="rId16" Type="http://schemas.openxmlformats.org/officeDocument/2006/relationships/hyperlink" Target="https://drive.google.com/thumbnail?id=1k2l3ImvYWo6W24ni8C-MQul82pGnFb2Z&amp;sz=w400" TargetMode="External"/><Relationship Id="rId19" Type="http://schemas.openxmlformats.org/officeDocument/2006/relationships/hyperlink" Target="https://drive.google.com/thumbnail?id=1QKpX_51p4uAd2tgvK2JKYTWlz6IuvLNm&amp;sz=w400" TargetMode="External"/><Relationship Id="rId18" Type="http://schemas.openxmlformats.org/officeDocument/2006/relationships/hyperlink" Target="https://drive.google.com/thumbnail?id=1WFs_ftGdVtpwt2OCGbJAEA-sGjgHGdXy&amp;sz=w40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v.daum.net" TargetMode="External"/><Relationship Id="rId2" Type="http://schemas.openxmlformats.org/officeDocument/2006/relationships/hyperlink" Target="http://kyongbuk.co.kr"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portal.kosha.or.kr/archive/imprtnDsstrAlrame/CSADV50000/CSADV50000M01" TargetMode="External"/><Relationship Id="rId42" Type="http://schemas.openxmlformats.org/officeDocument/2006/relationships/hyperlink" Target="https://portal.kosha.or.kr/archive/imprtnDsstrAlrame/CSADV50000/CSADV50000M01" TargetMode="External"/><Relationship Id="rId41" Type="http://schemas.openxmlformats.org/officeDocument/2006/relationships/hyperlink" Target="https://portal.kosha.or.kr/archive/imprtnDsstrAlrame/CSADV50000/CSADV50000M01" TargetMode="External"/><Relationship Id="rId44" Type="http://schemas.openxmlformats.org/officeDocument/2006/relationships/hyperlink" Target="https://portal.kosha.or.kr/archive/imprtnDsstrAlrame/CSADV50000/CSADV50000M01" TargetMode="External"/><Relationship Id="rId43" Type="http://schemas.openxmlformats.org/officeDocument/2006/relationships/hyperlink" Target="https://portal.kosha.or.kr/archive/imprtnDsstrAlrame/CSADV50000/CSADV50000M01" TargetMode="External"/><Relationship Id="rId46" Type="http://schemas.openxmlformats.org/officeDocument/2006/relationships/hyperlink" Target="https://portal.kosha.or.kr/archive/imprtnDsstrAlrame/CSADV50000/CSADV50000M01" TargetMode="External"/><Relationship Id="rId45" Type="http://schemas.openxmlformats.org/officeDocument/2006/relationships/hyperlink" Target="https://portal.kosha.or.kr/archive/imprtnDsstrAlrame/CSADV50000/CSADV50000M01" TargetMode="External"/><Relationship Id="rId1" Type="http://schemas.openxmlformats.org/officeDocument/2006/relationships/hyperlink" Target="https://portal.kosha.or.kr/archive/imprtnDsstrAlrame/CSADV50000/CSADV50000M01" TargetMode="External"/><Relationship Id="rId2" Type="http://schemas.openxmlformats.org/officeDocument/2006/relationships/hyperlink" Target="https://portal.kosha.or.kr/archive/imprtnDsstrAlrame/CSADV50000/CSADV50000M01" TargetMode="External"/><Relationship Id="rId3" Type="http://schemas.openxmlformats.org/officeDocument/2006/relationships/hyperlink" Target="https://portal.kosha.or.kr/archive/imprtnDsstrAlrame/CSADV50000/CSADV50000M01" TargetMode="External"/><Relationship Id="rId4" Type="http://schemas.openxmlformats.org/officeDocument/2006/relationships/hyperlink" Target="https://portal.kosha.or.kr/archive/imprtnDsstrAlrame/CSADV50000/CSADV50000M01" TargetMode="External"/><Relationship Id="rId9" Type="http://schemas.openxmlformats.org/officeDocument/2006/relationships/hyperlink" Target="https://portal.kosha.or.kr/archive/imprtnDsstrAlrame/CSADV50000/CSADV50000M01" TargetMode="External"/><Relationship Id="rId48" Type="http://schemas.openxmlformats.org/officeDocument/2006/relationships/hyperlink" Target="https://portal.kosha.or.kr/archive/imprtnDsstrAlrame/CSADV50000/CSADV50000M01" TargetMode="External"/><Relationship Id="rId47" Type="http://schemas.openxmlformats.org/officeDocument/2006/relationships/hyperlink" Target="https://portal.kosha.or.kr/archive/imprtnDsstrAlrame/CSADV50000/CSADV50000M01" TargetMode="External"/><Relationship Id="rId49" Type="http://schemas.openxmlformats.org/officeDocument/2006/relationships/hyperlink" Target="https://portal.kosha.or.kr/archive/imprtnDsstrAlrame/CSADV50000/CSADV50000M01" TargetMode="External"/><Relationship Id="rId5" Type="http://schemas.openxmlformats.org/officeDocument/2006/relationships/hyperlink" Target="https://portal.kosha.or.kr/archive/imprtnDsstrAlrame/CSADV50000/CSADV50000M01" TargetMode="External"/><Relationship Id="rId6" Type="http://schemas.openxmlformats.org/officeDocument/2006/relationships/hyperlink" Target="https://portal.kosha.or.kr/archive/imprtnDsstrAlrame/CSADV50000/CSADV50000M01" TargetMode="External"/><Relationship Id="rId7" Type="http://schemas.openxmlformats.org/officeDocument/2006/relationships/hyperlink" Target="https://portal.kosha.or.kr/archive/imprtnDsstrAlrame/CSADV50000/CSADV50000M01" TargetMode="External"/><Relationship Id="rId8" Type="http://schemas.openxmlformats.org/officeDocument/2006/relationships/hyperlink" Target="https://portal.kosha.or.kr/archive/imprtnDsstrAlrame/CSADV50000/CSADV50000M01" TargetMode="External"/><Relationship Id="rId72" Type="http://schemas.openxmlformats.org/officeDocument/2006/relationships/drawing" Target="../drawings/drawing6.xml"/><Relationship Id="rId31" Type="http://schemas.openxmlformats.org/officeDocument/2006/relationships/hyperlink" Target="https://portal.kosha.or.kr/archive/imprtnDsstrAlrame/CSADV50000/CSADV50000M01" TargetMode="External"/><Relationship Id="rId30" Type="http://schemas.openxmlformats.org/officeDocument/2006/relationships/hyperlink" Target="https://portal.kosha.or.kr/archive/imprtnDsstrAlrame/CSADV50000/CSADV50000M01" TargetMode="External"/><Relationship Id="rId33" Type="http://schemas.openxmlformats.org/officeDocument/2006/relationships/hyperlink" Target="https://portal.kosha.or.kr/archive/imprtnDsstrAlrame/CSADV50000/CSADV50000M01" TargetMode="External"/><Relationship Id="rId32" Type="http://schemas.openxmlformats.org/officeDocument/2006/relationships/hyperlink" Target="https://portal.kosha.or.kr/archive/imprtnDsstrAlrame/CSADV50000/CSADV50000M01" TargetMode="External"/><Relationship Id="rId35" Type="http://schemas.openxmlformats.org/officeDocument/2006/relationships/hyperlink" Target="https://portal.kosha.or.kr/archive/imprtnDsstrAlrame/CSADV50000/CSADV50000M01" TargetMode="External"/><Relationship Id="rId34" Type="http://schemas.openxmlformats.org/officeDocument/2006/relationships/hyperlink" Target="https://portal.kosha.or.kr/archive/imprtnDsstrAlrame/CSADV50000/CSADV50000M01" TargetMode="External"/><Relationship Id="rId71" Type="http://schemas.openxmlformats.org/officeDocument/2006/relationships/hyperlink" Target="https://portal.kosha.or.kr/archive/imprtnDsstrAlrame/CSADV50000/CSADV50000M01" TargetMode="External"/><Relationship Id="rId70" Type="http://schemas.openxmlformats.org/officeDocument/2006/relationships/hyperlink" Target="https://portal.kosha.or.kr/archive/imprtnDsstrAlrame/CSADV50000/CSADV50000M01" TargetMode="External"/><Relationship Id="rId37" Type="http://schemas.openxmlformats.org/officeDocument/2006/relationships/hyperlink" Target="https://portal.kosha.or.kr/archive/imprtnDsstrAlrame/CSADV50000/CSADV50000M01" TargetMode="External"/><Relationship Id="rId36" Type="http://schemas.openxmlformats.org/officeDocument/2006/relationships/hyperlink" Target="https://portal.kosha.or.kr/archive/imprtnDsstrAlrame/CSADV50000/CSADV50000M01" TargetMode="External"/><Relationship Id="rId39" Type="http://schemas.openxmlformats.org/officeDocument/2006/relationships/hyperlink" Target="https://portal.kosha.or.kr/archive/imprtnDsstrAlrame/CSADV50000/CSADV50000M01" TargetMode="External"/><Relationship Id="rId38" Type="http://schemas.openxmlformats.org/officeDocument/2006/relationships/hyperlink" Target="https://portal.kosha.or.kr/archive/imprtnDsstrAlrame/CSADV50000/CSADV50000M01" TargetMode="External"/><Relationship Id="rId62" Type="http://schemas.openxmlformats.org/officeDocument/2006/relationships/hyperlink" Target="https://portal.kosha.or.kr/archive/imprtnDsstrAlrame/CSADV50000/CSADV50000M01" TargetMode="External"/><Relationship Id="rId61" Type="http://schemas.openxmlformats.org/officeDocument/2006/relationships/hyperlink" Target="https://portal.kosha.or.kr/archive/imprtnDsstrAlrame/CSADV50000/CSADV50000M01" TargetMode="External"/><Relationship Id="rId20" Type="http://schemas.openxmlformats.org/officeDocument/2006/relationships/hyperlink" Target="https://portal.kosha.or.kr/archive/imprtnDsstrAlrame/CSADV50000/CSADV50000M01" TargetMode="External"/><Relationship Id="rId64" Type="http://schemas.openxmlformats.org/officeDocument/2006/relationships/hyperlink" Target="https://portal.kosha.or.kr/archive/imprtnDsstrAlrame/CSADV50000/CSADV50000M01" TargetMode="External"/><Relationship Id="rId63" Type="http://schemas.openxmlformats.org/officeDocument/2006/relationships/hyperlink" Target="https://portal.kosha.or.kr/archive/imprtnDsstrAlrame/CSADV50000/CSADV50000M01" TargetMode="External"/><Relationship Id="rId22" Type="http://schemas.openxmlformats.org/officeDocument/2006/relationships/hyperlink" Target="https://portal.kosha.or.kr/archive/imprtnDsstrAlrame/CSADV50000/CSADV50000M01" TargetMode="External"/><Relationship Id="rId66" Type="http://schemas.openxmlformats.org/officeDocument/2006/relationships/hyperlink" Target="https://portal.kosha.or.kr/archive/imprtnDsstrAlrame/CSADV50000/CSADV50000M01" TargetMode="External"/><Relationship Id="rId21" Type="http://schemas.openxmlformats.org/officeDocument/2006/relationships/hyperlink" Target="https://portal.kosha.or.kr/archive/imprtnDsstrAlrame/CSADV50000/CSADV50000M01" TargetMode="External"/><Relationship Id="rId65" Type="http://schemas.openxmlformats.org/officeDocument/2006/relationships/hyperlink" Target="https://portal.kosha.or.kr/archive/imprtnDsstrAlrame/CSADV50000/CSADV50000M01" TargetMode="External"/><Relationship Id="rId24" Type="http://schemas.openxmlformats.org/officeDocument/2006/relationships/hyperlink" Target="https://portal.kosha.or.kr/archive/imprtnDsstrAlrame/CSADV50000/CSADV50000M01" TargetMode="External"/><Relationship Id="rId68" Type="http://schemas.openxmlformats.org/officeDocument/2006/relationships/hyperlink" Target="https://portal.kosha.or.kr/archive/imprtnDsstrAlrame/CSADV50000/CSADV50000M01" TargetMode="External"/><Relationship Id="rId23" Type="http://schemas.openxmlformats.org/officeDocument/2006/relationships/hyperlink" Target="https://portal.kosha.or.kr/archive/imprtnDsstrAlrame/CSADV50000/CSADV50000M01" TargetMode="External"/><Relationship Id="rId67" Type="http://schemas.openxmlformats.org/officeDocument/2006/relationships/hyperlink" Target="https://portal.kosha.or.kr/archive/imprtnDsstrAlrame/CSADV50000/CSADV50000M01" TargetMode="External"/><Relationship Id="rId60" Type="http://schemas.openxmlformats.org/officeDocument/2006/relationships/hyperlink" Target="https://portal.kosha.or.kr/archive/imprtnDsstrAlrame/CSADV50000/CSADV50000M01" TargetMode="External"/><Relationship Id="rId26" Type="http://schemas.openxmlformats.org/officeDocument/2006/relationships/hyperlink" Target="https://portal.kosha.or.kr/archive/imprtnDsstrAlrame/CSADV50000/CSADV50000M01" TargetMode="External"/><Relationship Id="rId25" Type="http://schemas.openxmlformats.org/officeDocument/2006/relationships/hyperlink" Target="https://portal.kosha.or.kr/archive/imprtnDsstrAlrame/CSADV50000/CSADV50000M01" TargetMode="External"/><Relationship Id="rId69" Type="http://schemas.openxmlformats.org/officeDocument/2006/relationships/hyperlink" Target="https://portal.kosha.or.kr/archive/imprtnDsstrAlrame/CSADV50000/CSADV50000M01" TargetMode="External"/><Relationship Id="rId28" Type="http://schemas.openxmlformats.org/officeDocument/2006/relationships/hyperlink" Target="https://portal.kosha.or.kr/archive/imprtnDsstrAlrame/CSADV50000/CSADV50000M01" TargetMode="External"/><Relationship Id="rId27" Type="http://schemas.openxmlformats.org/officeDocument/2006/relationships/hyperlink" Target="https://portal.kosha.or.kr/archive/imprtnDsstrAlrame/CSADV50000/CSADV50000M01" TargetMode="External"/><Relationship Id="rId29" Type="http://schemas.openxmlformats.org/officeDocument/2006/relationships/hyperlink" Target="https://portal.kosha.or.kr/archive/imprtnDsstrAlrame/CSADV50000/CSADV50000M01" TargetMode="External"/><Relationship Id="rId51" Type="http://schemas.openxmlformats.org/officeDocument/2006/relationships/hyperlink" Target="https://portal.kosha.or.kr/archive/imprtnDsstrAlrame/CSADV50000/CSADV50000M01" TargetMode="External"/><Relationship Id="rId50" Type="http://schemas.openxmlformats.org/officeDocument/2006/relationships/hyperlink" Target="https://portal.kosha.or.kr/archive/imprtnDsstrAlrame/CSADV50000/CSADV50000M01" TargetMode="External"/><Relationship Id="rId53" Type="http://schemas.openxmlformats.org/officeDocument/2006/relationships/hyperlink" Target="https://portal.kosha.or.kr/archive/imprtnDsstrAlrame/CSADV50000/CSADV50000M01" TargetMode="External"/><Relationship Id="rId52" Type="http://schemas.openxmlformats.org/officeDocument/2006/relationships/hyperlink" Target="https://portal.kosha.or.kr/archive/imprtnDsstrAlrame/CSADV50000/CSADV50000M01" TargetMode="External"/><Relationship Id="rId11" Type="http://schemas.openxmlformats.org/officeDocument/2006/relationships/hyperlink" Target="https://portal.kosha.or.kr/archive/imprtnDsstrAlrame/CSADV50000/CSADV50000M01" TargetMode="External"/><Relationship Id="rId55" Type="http://schemas.openxmlformats.org/officeDocument/2006/relationships/hyperlink" Target="https://portal.kosha.or.kr/archive/imprtnDsstrAlrame/CSADV50000/CSADV50000M01" TargetMode="External"/><Relationship Id="rId10" Type="http://schemas.openxmlformats.org/officeDocument/2006/relationships/hyperlink" Target="https://portal.kosha.or.kr/archive/imprtnDsstrAlrame/CSADV50000/CSADV50000M01" TargetMode="External"/><Relationship Id="rId54" Type="http://schemas.openxmlformats.org/officeDocument/2006/relationships/hyperlink" Target="https://portal.kosha.or.kr/archive/imprtnDsstrAlrame/CSADV50000/CSADV50000M01" TargetMode="External"/><Relationship Id="rId13" Type="http://schemas.openxmlformats.org/officeDocument/2006/relationships/hyperlink" Target="https://portal.kosha.or.kr/archive/imprtnDsstrAlrame/CSADV50000/CSADV50000M01" TargetMode="External"/><Relationship Id="rId57" Type="http://schemas.openxmlformats.org/officeDocument/2006/relationships/hyperlink" Target="https://portal.kosha.or.kr/archive/imprtnDsstrAlrame/CSADV50000/CSADV50000M01" TargetMode="External"/><Relationship Id="rId12" Type="http://schemas.openxmlformats.org/officeDocument/2006/relationships/hyperlink" Target="https://portal.kosha.or.kr/archive/imprtnDsstrAlrame/CSADV50000/CSADV50000M01" TargetMode="External"/><Relationship Id="rId56" Type="http://schemas.openxmlformats.org/officeDocument/2006/relationships/hyperlink" Target="https://portal.kosha.or.kr/archive/imprtnDsstrAlrame/CSADV50000/CSADV50000M01" TargetMode="External"/><Relationship Id="rId15" Type="http://schemas.openxmlformats.org/officeDocument/2006/relationships/hyperlink" Target="https://portal.kosha.or.kr/archive/imprtnDsstrAlrame/CSADV50000/CSADV50000M01" TargetMode="External"/><Relationship Id="rId59" Type="http://schemas.openxmlformats.org/officeDocument/2006/relationships/hyperlink" Target="https://portal.kosha.or.kr/archive/imprtnDsstrAlrame/CSADV50000/CSADV50000M01" TargetMode="External"/><Relationship Id="rId14" Type="http://schemas.openxmlformats.org/officeDocument/2006/relationships/hyperlink" Target="https://portal.kosha.or.kr/archive/imprtnDsstrAlrame/CSADV50000/CSADV50000M01" TargetMode="External"/><Relationship Id="rId58" Type="http://schemas.openxmlformats.org/officeDocument/2006/relationships/hyperlink" Target="https://portal.kosha.or.kr/archive/imprtnDsstrAlrame/CSADV50000/CSADV50000M01" TargetMode="External"/><Relationship Id="rId17" Type="http://schemas.openxmlformats.org/officeDocument/2006/relationships/hyperlink" Target="https://portal.kosha.or.kr/archive/imprtnDsstrAlrame/CSADV50000/CSADV50000M01" TargetMode="External"/><Relationship Id="rId16" Type="http://schemas.openxmlformats.org/officeDocument/2006/relationships/hyperlink" Target="https://portal.kosha.or.kr/archive/imprtnDsstrAlrame/CSADV50000/CSADV50000M01" TargetMode="External"/><Relationship Id="rId19" Type="http://schemas.openxmlformats.org/officeDocument/2006/relationships/hyperlink" Target="https://portal.kosha.or.kr/archive/imprtnDsstrAlrame/CSADV50000/CSADV50000M01" TargetMode="External"/><Relationship Id="rId18" Type="http://schemas.openxmlformats.org/officeDocument/2006/relationships/hyperlink" Target="https://portal.kosha.or.kr/archive/imprtnDsstrAlrame/CSADV50000/CSADV50000M0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cript.google.com/macros/s/AKfycbwSv-W1V0Kb6PXZtqR1N_PqT54G7ALh6OpIdYryxxhfg-MFvbGLmHZSUbs4Ri7K2Y03/exec?page=tbm&amp;type=AC" TargetMode="External"/><Relationship Id="rId2" Type="http://schemas.openxmlformats.org/officeDocument/2006/relationships/hyperlink" Target="https://script.google.com/macros/s/AKfycbwSv-W1V0Kb6PXZtqR1N_PqT54G7ALh6OpIdYryxxhfg-MFvbGLmHZSUbs4Ri7K2Y03/exec?page=tbm&amp;type=%EC%9E%84%ED%8E%A0%EB%9F%AC" TargetMode="External"/><Relationship Id="rId3" Type="http://schemas.openxmlformats.org/officeDocument/2006/relationships/hyperlink" Target="https://script.google.com/macros/s/AKfycbyAUMb7GSC7TEF1kxz9OnqOxpeEWvr5mALuCQIQD5k/dev?page=tbm&amp;type=%EA%B8%B0%EA%B3%84%EB%B0%98" TargetMode="External"/><Relationship Id="rId4" Type="http://schemas.openxmlformats.org/officeDocument/2006/relationships/hyperlink" Target="https://script.google.com/macros/s/AKfycbyAUMb7GSC7TEF1kxz9OnqOxpeEWvr5mALuCQIQD5k/dev?page=tbm&amp;type=%EC%A1%B0%EB%A6%BD%EC%9E%A5"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43.5"/>
    <col customWidth="1" min="3" max="3" width="19.88"/>
    <col customWidth="1" min="4" max="4" width="51.25"/>
  </cols>
  <sheetData>
    <row r="1">
      <c r="A1" s="1" t="s">
        <v>1</v>
      </c>
      <c r="B1" s="1" t="s">
        <v>2</v>
      </c>
      <c r="C1" s="1" t="s">
        <v>4</v>
      </c>
      <c r="D1" s="1" t="s">
        <v>5</v>
      </c>
      <c r="E1" s="1" t="s">
        <v>9</v>
      </c>
      <c r="F1" s="1" t="s">
        <v>11</v>
      </c>
      <c r="G1" s="1" t="s">
        <v>13</v>
      </c>
      <c r="H1" s="3"/>
      <c r="I1" s="3"/>
      <c r="J1" s="3"/>
      <c r="K1" s="3"/>
      <c r="L1" s="3"/>
      <c r="M1" s="3"/>
      <c r="N1" s="3"/>
      <c r="O1" s="3"/>
      <c r="P1" s="3"/>
      <c r="Q1" s="3"/>
      <c r="R1" s="3"/>
      <c r="S1" s="3"/>
      <c r="T1" s="3"/>
      <c r="U1" s="3"/>
      <c r="V1" s="3"/>
      <c r="W1" s="3"/>
      <c r="X1" s="3"/>
      <c r="Y1" s="3"/>
      <c r="Z1" s="3"/>
    </row>
    <row r="2">
      <c r="A2" s="5" t="s">
        <v>22</v>
      </c>
      <c r="B2" s="5" t="s">
        <v>23</v>
      </c>
      <c r="C2" s="5" t="s">
        <v>24</v>
      </c>
      <c r="D2" s="6" t="s">
        <v>25</v>
      </c>
      <c r="E2" s="7">
        <v>44256.0</v>
      </c>
      <c r="F2" s="5" t="s">
        <v>26</v>
      </c>
      <c r="G2" s="5" t="s">
        <v>26</v>
      </c>
      <c r="H2" s="5"/>
      <c r="I2" s="5"/>
      <c r="J2" s="3"/>
      <c r="K2" s="3"/>
      <c r="L2" s="3"/>
      <c r="M2" s="3"/>
      <c r="N2" s="3"/>
      <c r="O2" s="3"/>
      <c r="P2" s="3"/>
      <c r="Q2" s="3"/>
      <c r="R2" s="3"/>
      <c r="S2" s="3"/>
      <c r="T2" s="3"/>
      <c r="U2" s="3"/>
      <c r="V2" s="3"/>
      <c r="W2" s="3"/>
      <c r="X2" s="3"/>
      <c r="Y2" s="3"/>
      <c r="Z2" s="3"/>
    </row>
    <row r="3">
      <c r="A3" s="5" t="s">
        <v>27</v>
      </c>
      <c r="B3" s="5" t="s">
        <v>28</v>
      </c>
      <c r="C3" s="5" t="s">
        <v>30</v>
      </c>
      <c r="D3" s="10" t="s">
        <v>31</v>
      </c>
      <c r="E3" s="3"/>
      <c r="F3" s="5" t="s">
        <v>35</v>
      </c>
      <c r="G3" s="5" t="s">
        <v>36</v>
      </c>
      <c r="H3" s="5"/>
      <c r="I3" s="5"/>
      <c r="J3" s="3"/>
      <c r="K3" s="3"/>
      <c r="L3" s="3"/>
      <c r="M3" s="3"/>
      <c r="N3" s="3"/>
      <c r="O3" s="3"/>
      <c r="P3" s="3"/>
      <c r="Q3" s="3"/>
      <c r="R3" s="3"/>
      <c r="S3" s="3"/>
      <c r="T3" s="3"/>
      <c r="U3" s="3"/>
      <c r="V3" s="3"/>
      <c r="W3" s="3"/>
      <c r="X3" s="3"/>
      <c r="Y3" s="3"/>
      <c r="Z3" s="3"/>
    </row>
    <row r="4">
      <c r="A4" s="5" t="s">
        <v>50</v>
      </c>
      <c r="B4" s="5" t="s">
        <v>52</v>
      </c>
      <c r="C4" s="5" t="s">
        <v>54</v>
      </c>
      <c r="D4" s="10" t="s">
        <v>56</v>
      </c>
      <c r="E4" s="3"/>
      <c r="F4" s="5" t="s">
        <v>58</v>
      </c>
      <c r="G4" s="5" t="s">
        <v>59</v>
      </c>
      <c r="H4" s="5"/>
      <c r="I4" s="5"/>
      <c r="J4" s="3"/>
      <c r="K4" s="3"/>
      <c r="L4" s="3"/>
      <c r="M4" s="3"/>
      <c r="N4" s="3"/>
      <c r="O4" s="3"/>
      <c r="P4" s="3"/>
      <c r="Q4" s="3"/>
      <c r="R4" s="3"/>
      <c r="S4" s="3"/>
      <c r="T4" s="3"/>
      <c r="U4" s="3"/>
      <c r="V4" s="3"/>
      <c r="W4" s="3"/>
      <c r="X4" s="3"/>
      <c r="Y4" s="3"/>
      <c r="Z4" s="3"/>
    </row>
    <row r="5">
      <c r="A5" s="5" t="s">
        <v>61</v>
      </c>
      <c r="B5" s="5" t="s">
        <v>63</v>
      </c>
      <c r="C5" s="5" t="s">
        <v>65</v>
      </c>
      <c r="D5" s="10" t="s">
        <v>68</v>
      </c>
      <c r="E5" s="3"/>
      <c r="F5" s="5" t="s">
        <v>70</v>
      </c>
      <c r="G5" s="5" t="s">
        <v>73</v>
      </c>
      <c r="H5" s="5"/>
      <c r="I5" s="5"/>
      <c r="J5" s="3"/>
      <c r="K5" s="3"/>
      <c r="L5" s="3"/>
      <c r="M5" s="3"/>
      <c r="N5" s="3"/>
      <c r="O5" s="3"/>
      <c r="P5" s="3"/>
      <c r="Q5" s="3"/>
      <c r="R5" s="3"/>
      <c r="S5" s="3"/>
      <c r="T5" s="3"/>
      <c r="U5" s="3"/>
      <c r="V5" s="3"/>
      <c r="W5" s="3"/>
      <c r="X5" s="3"/>
      <c r="Y5" s="3"/>
      <c r="Z5" s="3"/>
    </row>
    <row r="6">
      <c r="A6" s="5" t="s">
        <v>79</v>
      </c>
      <c r="B6" s="5" t="s">
        <v>81</v>
      </c>
      <c r="C6" s="5" t="s">
        <v>82</v>
      </c>
      <c r="D6" s="10" t="s">
        <v>84</v>
      </c>
      <c r="E6" s="3"/>
      <c r="F6" s="5" t="s">
        <v>86</v>
      </c>
      <c r="G6" s="5" t="s">
        <v>35</v>
      </c>
      <c r="H6" s="5"/>
      <c r="I6" s="5"/>
      <c r="J6" s="3"/>
      <c r="K6" s="3"/>
      <c r="L6" s="3"/>
      <c r="M6" s="3"/>
      <c r="N6" s="3"/>
      <c r="O6" s="3"/>
      <c r="P6" s="3"/>
      <c r="Q6" s="3"/>
      <c r="R6" s="3"/>
      <c r="S6" s="3"/>
      <c r="T6" s="3"/>
      <c r="U6" s="3"/>
      <c r="V6" s="3"/>
      <c r="W6" s="3"/>
      <c r="X6" s="3"/>
      <c r="Y6" s="3"/>
      <c r="Z6" s="3"/>
    </row>
    <row r="7">
      <c r="A7" s="5" t="s">
        <v>93</v>
      </c>
      <c r="B7" s="5" t="s">
        <v>96</v>
      </c>
      <c r="C7" s="5" t="s">
        <v>98</v>
      </c>
      <c r="D7" s="10" t="s">
        <v>99</v>
      </c>
      <c r="E7" s="3"/>
      <c r="F7" s="5" t="s">
        <v>101</v>
      </c>
      <c r="G7" s="5" t="s">
        <v>103</v>
      </c>
      <c r="H7" s="5"/>
      <c r="I7" s="5"/>
      <c r="J7" s="3"/>
      <c r="K7" s="3"/>
      <c r="L7" s="3"/>
      <c r="M7" s="3"/>
      <c r="N7" s="3"/>
      <c r="O7" s="3"/>
      <c r="P7" s="3"/>
      <c r="Q7" s="3"/>
      <c r="R7" s="3"/>
      <c r="S7" s="3"/>
      <c r="T7" s="3"/>
      <c r="U7" s="3"/>
      <c r="V7" s="3"/>
      <c r="W7" s="3"/>
      <c r="X7" s="3"/>
      <c r="Y7" s="3"/>
      <c r="Z7" s="3"/>
    </row>
    <row r="8">
      <c r="A8" s="5" t="s">
        <v>109</v>
      </c>
      <c r="B8" s="5" t="s">
        <v>110</v>
      </c>
      <c r="C8" s="5" t="s">
        <v>112</v>
      </c>
      <c r="D8" s="10" t="s">
        <v>114</v>
      </c>
      <c r="E8" s="3"/>
      <c r="F8" s="5" t="s">
        <v>115</v>
      </c>
      <c r="G8" s="5" t="s">
        <v>58</v>
      </c>
      <c r="H8" s="5"/>
      <c r="I8" s="5"/>
      <c r="J8" s="3"/>
      <c r="K8" s="3"/>
      <c r="L8" s="3"/>
      <c r="M8" s="3"/>
      <c r="N8" s="3"/>
      <c r="O8" s="3"/>
      <c r="P8" s="3"/>
      <c r="Q8" s="3"/>
      <c r="R8" s="3"/>
      <c r="S8" s="3"/>
      <c r="T8" s="3"/>
      <c r="U8" s="3"/>
      <c r="V8" s="3"/>
      <c r="W8" s="3"/>
      <c r="X8" s="3"/>
      <c r="Y8" s="3"/>
      <c r="Z8" s="3"/>
    </row>
    <row r="9">
      <c r="A9" s="5" t="s">
        <v>123</v>
      </c>
      <c r="B9" s="5" t="s">
        <v>125</v>
      </c>
      <c r="C9" s="5" t="s">
        <v>126</v>
      </c>
      <c r="D9" s="10" t="s">
        <v>127</v>
      </c>
      <c r="E9" s="3"/>
      <c r="F9" s="5" t="s">
        <v>129</v>
      </c>
      <c r="G9" s="5" t="s">
        <v>70</v>
      </c>
      <c r="H9" s="5"/>
      <c r="I9" s="5"/>
      <c r="J9" s="3"/>
      <c r="K9" s="3"/>
      <c r="L9" s="3"/>
      <c r="M9" s="3"/>
      <c r="N9" s="3"/>
      <c r="O9" s="3"/>
      <c r="P9" s="3"/>
      <c r="Q9" s="3"/>
      <c r="R9" s="3"/>
      <c r="S9" s="3"/>
      <c r="T9" s="3"/>
      <c r="U9" s="3"/>
      <c r="V9" s="3"/>
      <c r="W9" s="3"/>
      <c r="X9" s="3"/>
      <c r="Y9" s="3"/>
      <c r="Z9" s="3"/>
    </row>
    <row r="10">
      <c r="A10" s="5" t="s">
        <v>133</v>
      </c>
      <c r="B10" s="5" t="s">
        <v>134</v>
      </c>
      <c r="C10" s="5" t="s">
        <v>135</v>
      </c>
      <c r="D10" s="10" t="s">
        <v>137</v>
      </c>
      <c r="E10" s="3"/>
      <c r="G10" s="5" t="s">
        <v>138</v>
      </c>
      <c r="H10" s="5"/>
      <c r="I10" s="5"/>
      <c r="J10" s="3"/>
      <c r="K10" s="3"/>
      <c r="L10" s="3"/>
      <c r="M10" s="3"/>
      <c r="N10" s="3"/>
      <c r="O10" s="3"/>
      <c r="P10" s="3"/>
      <c r="Q10" s="3"/>
      <c r="R10" s="3"/>
      <c r="S10" s="3"/>
      <c r="T10" s="3"/>
      <c r="U10" s="3"/>
      <c r="V10" s="3"/>
      <c r="W10" s="3"/>
      <c r="X10" s="3"/>
      <c r="Y10" s="3"/>
      <c r="Z10" s="3"/>
    </row>
    <row r="11">
      <c r="A11" s="5" t="s">
        <v>144</v>
      </c>
      <c r="B11" s="5" t="s">
        <v>145</v>
      </c>
      <c r="C11" s="5" t="s">
        <v>146</v>
      </c>
      <c r="D11" s="10" t="s">
        <v>147</v>
      </c>
      <c r="E11" s="3"/>
      <c r="G11" s="5" t="s">
        <v>150</v>
      </c>
      <c r="H11" s="5"/>
      <c r="I11" s="5"/>
      <c r="J11" s="3"/>
      <c r="K11" s="3"/>
      <c r="L11" s="3"/>
      <c r="M11" s="3"/>
      <c r="N11" s="3"/>
      <c r="O11" s="3"/>
      <c r="P11" s="3"/>
      <c r="Q11" s="3"/>
      <c r="R11" s="3"/>
      <c r="S11" s="3"/>
      <c r="T11" s="3"/>
      <c r="U11" s="3"/>
      <c r="V11" s="3"/>
      <c r="W11" s="3"/>
      <c r="X11" s="3"/>
      <c r="Y11" s="3"/>
      <c r="Z11" s="3"/>
    </row>
    <row r="12">
      <c r="A12" s="5" t="s">
        <v>156</v>
      </c>
      <c r="B12" s="5" t="s">
        <v>23</v>
      </c>
      <c r="C12" s="5" t="s">
        <v>157</v>
      </c>
      <c r="D12" s="10" t="s">
        <v>158</v>
      </c>
      <c r="E12" s="3"/>
      <c r="F12" s="5"/>
      <c r="G12" s="5" t="s">
        <v>115</v>
      </c>
      <c r="H12" s="5"/>
      <c r="I12" s="3"/>
      <c r="J12" s="3"/>
      <c r="K12" s="3"/>
      <c r="L12" s="3"/>
      <c r="M12" s="3"/>
      <c r="N12" s="3"/>
      <c r="O12" s="3"/>
      <c r="P12" s="3"/>
      <c r="Q12" s="3"/>
      <c r="R12" s="3"/>
      <c r="S12" s="3"/>
      <c r="T12" s="3"/>
      <c r="U12" s="3"/>
      <c r="V12" s="3"/>
      <c r="W12" s="3"/>
      <c r="X12" s="3"/>
      <c r="Y12" s="3"/>
      <c r="Z12" s="3"/>
    </row>
    <row r="13">
      <c r="A13" s="3"/>
      <c r="B13" s="3"/>
      <c r="C13" s="3"/>
      <c r="D13" s="10" t="s">
        <v>161</v>
      </c>
      <c r="E13" s="3"/>
      <c r="F13" s="5"/>
      <c r="G13" s="5" t="s">
        <v>129</v>
      </c>
      <c r="H13" s="5"/>
      <c r="I13" s="3"/>
      <c r="J13" s="3"/>
      <c r="K13" s="3"/>
      <c r="L13" s="3"/>
      <c r="M13" s="3"/>
      <c r="N13" s="3"/>
      <c r="O13" s="3"/>
      <c r="P13" s="3"/>
      <c r="Q13" s="3"/>
      <c r="R13" s="3"/>
      <c r="S13" s="3"/>
      <c r="T13" s="3"/>
      <c r="U13" s="3"/>
      <c r="V13" s="3"/>
      <c r="W13" s="3"/>
      <c r="X13" s="3"/>
      <c r="Y13" s="3"/>
      <c r="Z13" s="3"/>
    </row>
    <row r="14">
      <c r="A14" s="3"/>
      <c r="B14" s="3"/>
      <c r="C14" s="3"/>
      <c r="D14" s="10" t="s">
        <v>174</v>
      </c>
      <c r="E14" s="3"/>
      <c r="F14" s="5"/>
      <c r="G14" s="5" t="s">
        <v>176</v>
      </c>
      <c r="H14" s="5"/>
      <c r="I14" s="3"/>
      <c r="J14" s="3"/>
      <c r="K14" s="3"/>
      <c r="L14" s="3"/>
      <c r="M14" s="3"/>
      <c r="N14" s="3"/>
      <c r="O14" s="3"/>
      <c r="P14" s="3"/>
      <c r="Q14" s="3"/>
      <c r="R14" s="3"/>
      <c r="S14" s="3"/>
      <c r="T14" s="3"/>
      <c r="U14" s="3"/>
      <c r="V14" s="3"/>
      <c r="W14" s="3"/>
      <c r="X14" s="3"/>
      <c r="Y14" s="3"/>
      <c r="Z14" s="3"/>
    </row>
    <row r="15">
      <c r="A15" s="3"/>
      <c r="B15" s="3"/>
      <c r="C15" s="3"/>
      <c r="D15" s="10" t="s">
        <v>183</v>
      </c>
      <c r="E15" s="3"/>
      <c r="F15" s="5"/>
      <c r="G15" s="5" t="s">
        <v>187</v>
      </c>
      <c r="H15" s="5"/>
      <c r="I15" s="3"/>
      <c r="J15" s="3"/>
      <c r="K15" s="3"/>
      <c r="L15" s="3"/>
      <c r="M15" s="3"/>
      <c r="N15" s="3"/>
      <c r="O15" s="3"/>
      <c r="P15" s="3"/>
      <c r="Q15" s="3"/>
      <c r="R15" s="3"/>
      <c r="S15" s="3"/>
      <c r="T15" s="3"/>
      <c r="U15" s="3"/>
      <c r="V15" s="3"/>
      <c r="W15" s="3"/>
      <c r="X15" s="3"/>
      <c r="Y15" s="3"/>
      <c r="Z15" s="3"/>
    </row>
    <row r="16">
      <c r="A16" s="3"/>
      <c r="B16" s="5"/>
      <c r="C16" s="3"/>
      <c r="D16" s="10" t="s">
        <v>193</v>
      </c>
      <c r="E16" s="3"/>
      <c r="F16" s="5"/>
      <c r="G16" s="5" t="s">
        <v>195</v>
      </c>
      <c r="H16" s="5"/>
      <c r="I16" s="3"/>
      <c r="J16" s="3"/>
      <c r="K16" s="3"/>
      <c r="L16" s="3"/>
      <c r="M16" s="3"/>
      <c r="N16" s="3"/>
      <c r="O16" s="3"/>
      <c r="P16" s="3"/>
      <c r="Q16" s="3"/>
      <c r="R16" s="3"/>
      <c r="S16" s="3"/>
      <c r="T16" s="3"/>
      <c r="U16" s="3"/>
      <c r="V16" s="3"/>
      <c r="W16" s="3"/>
      <c r="X16" s="3"/>
      <c r="Y16" s="3"/>
      <c r="Z16" s="3"/>
    </row>
    <row r="17">
      <c r="A17" s="3"/>
      <c r="B17" s="5"/>
      <c r="C17" s="3"/>
      <c r="D17" s="10" t="s">
        <v>197</v>
      </c>
      <c r="E17" s="3"/>
      <c r="F17" s="5"/>
      <c r="G17" s="5" t="s">
        <v>200</v>
      </c>
      <c r="H17" s="5"/>
      <c r="I17" s="3"/>
      <c r="J17" s="3"/>
      <c r="K17" s="3"/>
      <c r="L17" s="3"/>
      <c r="M17" s="3"/>
      <c r="N17" s="3"/>
      <c r="O17" s="3"/>
      <c r="P17" s="3"/>
      <c r="Q17" s="3"/>
      <c r="R17" s="3"/>
      <c r="S17" s="3"/>
      <c r="T17" s="3"/>
      <c r="U17" s="3"/>
      <c r="V17" s="3"/>
      <c r="W17" s="3"/>
      <c r="X17" s="3"/>
      <c r="Y17" s="3"/>
      <c r="Z17" s="3"/>
    </row>
    <row r="18">
      <c r="A18" s="3"/>
      <c r="B18" s="3"/>
      <c r="C18" s="3"/>
      <c r="D18" s="10" t="s">
        <v>205</v>
      </c>
      <c r="E18" s="3"/>
      <c r="F18" s="5"/>
      <c r="G18" s="5" t="s">
        <v>206</v>
      </c>
      <c r="H18" s="5"/>
      <c r="I18" s="3"/>
      <c r="J18" s="3"/>
      <c r="K18" s="3"/>
      <c r="L18" s="3"/>
      <c r="M18" s="3"/>
      <c r="N18" s="3"/>
      <c r="O18" s="3"/>
      <c r="P18" s="3"/>
      <c r="Q18" s="3"/>
      <c r="R18" s="3"/>
      <c r="S18" s="3"/>
      <c r="T18" s="3"/>
      <c r="U18" s="3"/>
      <c r="V18" s="3"/>
      <c r="W18" s="3"/>
      <c r="X18" s="3"/>
      <c r="Y18" s="3"/>
      <c r="Z18" s="3"/>
    </row>
    <row r="19">
      <c r="A19" s="3"/>
      <c r="B19" s="3"/>
      <c r="C19" s="3"/>
      <c r="D19" s="10" t="s">
        <v>207</v>
      </c>
      <c r="E19" s="3"/>
      <c r="F19" s="5"/>
      <c r="G19" s="5" t="s">
        <v>209</v>
      </c>
      <c r="H19" s="5"/>
      <c r="I19" s="3"/>
      <c r="J19" s="3"/>
      <c r="K19" s="3"/>
      <c r="L19" s="3"/>
      <c r="M19" s="3"/>
      <c r="N19" s="3"/>
      <c r="O19" s="3"/>
      <c r="P19" s="3"/>
      <c r="Q19" s="3"/>
      <c r="R19" s="3"/>
      <c r="S19" s="3"/>
      <c r="T19" s="3"/>
      <c r="U19" s="3"/>
      <c r="V19" s="3"/>
      <c r="W19" s="3"/>
      <c r="X19" s="3"/>
      <c r="Y19" s="3"/>
      <c r="Z19" s="3"/>
    </row>
    <row r="20">
      <c r="A20" s="3"/>
      <c r="B20" s="3"/>
      <c r="C20" s="3"/>
      <c r="D20" s="10" t="s">
        <v>218</v>
      </c>
      <c r="E20" s="3"/>
      <c r="F20" s="5"/>
      <c r="G20" s="5" t="s">
        <v>219</v>
      </c>
      <c r="H20" s="5"/>
      <c r="I20" s="3"/>
      <c r="J20" s="3"/>
      <c r="K20" s="3"/>
      <c r="L20" s="3"/>
      <c r="M20" s="3"/>
      <c r="N20" s="3"/>
      <c r="O20" s="3"/>
      <c r="P20" s="3"/>
      <c r="Q20" s="3"/>
      <c r="R20" s="3"/>
      <c r="S20" s="3"/>
      <c r="T20" s="3"/>
      <c r="U20" s="3"/>
      <c r="V20" s="3"/>
      <c r="W20" s="3"/>
      <c r="X20" s="3"/>
      <c r="Y20" s="3"/>
      <c r="Z20" s="3"/>
    </row>
    <row r="21">
      <c r="A21" s="3"/>
      <c r="B21" s="3"/>
      <c r="C21" s="3"/>
      <c r="D21" s="10" t="s">
        <v>220</v>
      </c>
      <c r="E21" s="3"/>
      <c r="F21" s="5"/>
      <c r="G21" s="5" t="s">
        <v>221</v>
      </c>
      <c r="H21" s="5"/>
      <c r="I21" s="3"/>
      <c r="J21" s="3"/>
      <c r="K21" s="3"/>
      <c r="L21" s="3"/>
      <c r="M21" s="3"/>
      <c r="N21" s="3"/>
      <c r="O21" s="3"/>
      <c r="P21" s="3"/>
      <c r="Q21" s="3"/>
      <c r="R21" s="3"/>
      <c r="S21" s="3"/>
      <c r="T21" s="3"/>
      <c r="U21" s="3"/>
      <c r="V21" s="3"/>
      <c r="W21" s="3"/>
      <c r="X21" s="3"/>
      <c r="Y21" s="3"/>
      <c r="Z21" s="3"/>
    </row>
    <row r="22">
      <c r="A22" s="3"/>
      <c r="B22" s="3"/>
      <c r="C22" s="3"/>
      <c r="D22" s="3"/>
      <c r="E22" s="3"/>
      <c r="F22" s="3"/>
      <c r="G22" s="5" t="s">
        <v>101</v>
      </c>
      <c r="H22" s="3"/>
      <c r="I22" s="3"/>
      <c r="J22" s="3"/>
      <c r="K22" s="3"/>
      <c r="L22" s="3"/>
      <c r="M22" s="3"/>
      <c r="N22" s="3"/>
      <c r="O22" s="3"/>
      <c r="P22" s="3"/>
      <c r="Q22" s="3"/>
      <c r="R22" s="3"/>
      <c r="S22" s="3"/>
      <c r="T22" s="3"/>
      <c r="U22" s="3"/>
      <c r="V22" s="3"/>
      <c r="W22" s="3"/>
      <c r="X22" s="3"/>
      <c r="Y22" s="3"/>
      <c r="Z22" s="3"/>
    </row>
    <row r="23">
      <c r="A23" s="3"/>
      <c r="B23" s="3"/>
      <c r="C23" s="3"/>
      <c r="D23" s="3"/>
      <c r="E23" s="3"/>
      <c r="F23" s="3"/>
      <c r="G23" s="5" t="s">
        <v>225</v>
      </c>
      <c r="H23" s="3"/>
      <c r="I23" s="3"/>
      <c r="J23" s="3"/>
      <c r="K23" s="3"/>
      <c r="L23" s="3"/>
      <c r="M23" s="3"/>
      <c r="N23" s="3"/>
      <c r="O23" s="3"/>
      <c r="P23" s="3"/>
      <c r="Q23" s="3"/>
      <c r="R23" s="3"/>
      <c r="S23" s="3"/>
      <c r="T23" s="3"/>
      <c r="U23" s="3"/>
      <c r="V23" s="3"/>
      <c r="W23" s="3"/>
      <c r="X23" s="3"/>
      <c r="Y23" s="3"/>
      <c r="Z23" s="3"/>
    </row>
    <row r="24">
      <c r="A24" s="3"/>
      <c r="B24" s="3"/>
      <c r="C24" s="3"/>
      <c r="D24" s="3"/>
      <c r="E24" s="3"/>
      <c r="F24" s="3"/>
      <c r="G24" s="5" t="s">
        <v>229</v>
      </c>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1.38"/>
    <col customWidth="1" min="3" max="3" width="22.63"/>
    <col customWidth="1" min="4" max="4" width="15.13"/>
    <col customWidth="1" min="5" max="5" width="50.13"/>
    <col customWidth="1" min="6" max="6" width="12.63"/>
    <col customWidth="1" min="7" max="7" width="18.88"/>
    <col customWidth="1" min="8" max="8" width="37.63"/>
    <col customWidth="1" min="10" max="10" width="12.63"/>
    <col customWidth="1" min="11" max="12" width="31.38"/>
  </cols>
  <sheetData>
    <row r="1">
      <c r="A1" s="2" t="s">
        <v>0</v>
      </c>
      <c r="B1" s="2" t="s">
        <v>3</v>
      </c>
      <c r="C1" s="2" t="s">
        <v>6</v>
      </c>
      <c r="D1" s="2" t="s">
        <v>7</v>
      </c>
      <c r="E1" s="2" t="s">
        <v>8</v>
      </c>
      <c r="F1" s="2" t="s">
        <v>10</v>
      </c>
      <c r="G1" s="2" t="s">
        <v>12</v>
      </c>
      <c r="H1" s="2" t="s">
        <v>14</v>
      </c>
      <c r="J1" s="2" t="s">
        <v>15</v>
      </c>
      <c r="K1" s="2" t="s">
        <v>16</v>
      </c>
      <c r="L1" s="2" t="s">
        <v>17</v>
      </c>
    </row>
    <row r="2">
      <c r="A2" s="2">
        <v>1.0</v>
      </c>
      <c r="B2" s="2" t="s">
        <v>18</v>
      </c>
      <c r="C2" s="2" t="s">
        <v>19</v>
      </c>
      <c r="D2" s="4">
        <v>44544.375</v>
      </c>
      <c r="E2" s="2" t="s">
        <v>20</v>
      </c>
      <c r="F2" s="2">
        <v>2.0</v>
      </c>
      <c r="G2" s="4">
        <v>46205.37319646991</v>
      </c>
      <c r="H2" s="8" t="s">
        <v>21</v>
      </c>
      <c r="I2" s="9" t="s">
        <v>29</v>
      </c>
      <c r="J2" s="9" t="s">
        <v>32</v>
      </c>
      <c r="K2" s="9" t="s">
        <v>33</v>
      </c>
      <c r="L2" s="9" t="s">
        <v>34</v>
      </c>
    </row>
    <row r="3">
      <c r="A3" s="2">
        <v>6.0</v>
      </c>
      <c r="B3" s="2" t="s">
        <v>37</v>
      </c>
      <c r="C3" s="2" t="s">
        <v>38</v>
      </c>
      <c r="D3" s="4">
        <v>42837.375</v>
      </c>
      <c r="E3" s="2" t="s">
        <v>39</v>
      </c>
      <c r="F3" s="2">
        <v>0.0</v>
      </c>
      <c r="G3" s="4">
        <v>46206.70391635416</v>
      </c>
      <c r="I3" s="9" t="s">
        <v>41</v>
      </c>
      <c r="J3" s="9" t="s">
        <v>32</v>
      </c>
      <c r="K3" s="9" t="s">
        <v>42</v>
      </c>
      <c r="L3" s="9" t="s">
        <v>43</v>
      </c>
    </row>
    <row r="4">
      <c r="A4" s="2">
        <v>7.0</v>
      </c>
      <c r="B4" s="2" t="s">
        <v>45</v>
      </c>
      <c r="C4" s="2" t="s">
        <v>46</v>
      </c>
      <c r="D4" s="4">
        <v>45315.375</v>
      </c>
      <c r="E4" s="2" t="s">
        <v>48</v>
      </c>
      <c r="F4" s="2">
        <v>2.0</v>
      </c>
      <c r="G4" s="4">
        <v>46210.923591597224</v>
      </c>
      <c r="H4" s="8" t="s">
        <v>53</v>
      </c>
      <c r="I4" s="9" t="s">
        <v>60</v>
      </c>
      <c r="J4" s="9" t="s">
        <v>32</v>
      </c>
      <c r="K4" s="9" t="s">
        <v>62</v>
      </c>
      <c r="L4" s="9" t="s">
        <v>64</v>
      </c>
    </row>
    <row r="5">
      <c r="A5" s="2">
        <v>8.0</v>
      </c>
      <c r="B5" s="2" t="s">
        <v>66</v>
      </c>
      <c r="C5" s="2" t="s">
        <v>19</v>
      </c>
      <c r="D5" s="4">
        <v>44519.375</v>
      </c>
      <c r="E5" s="2" t="s">
        <v>71</v>
      </c>
      <c r="F5" s="2">
        <v>1.0</v>
      </c>
      <c r="G5" s="4">
        <v>46219.66067324074</v>
      </c>
      <c r="H5" s="8" t="s">
        <v>74</v>
      </c>
      <c r="I5" s="9" t="s">
        <v>87</v>
      </c>
      <c r="J5" s="9" t="s">
        <v>32</v>
      </c>
      <c r="K5" s="9" t="s">
        <v>89</v>
      </c>
      <c r="L5" s="9" t="s">
        <v>90</v>
      </c>
    </row>
    <row r="6">
      <c r="A6" s="2">
        <v>10.0</v>
      </c>
      <c r="B6" s="2" t="s">
        <v>91</v>
      </c>
      <c r="C6" s="2" t="s">
        <v>19</v>
      </c>
      <c r="D6" s="4">
        <v>44545.375</v>
      </c>
      <c r="E6" s="2" t="s">
        <v>94</v>
      </c>
      <c r="F6" s="2">
        <v>0.0</v>
      </c>
      <c r="G6" s="4">
        <v>46219.66067336805</v>
      </c>
      <c r="H6" s="8" t="s">
        <v>97</v>
      </c>
      <c r="I6" s="9" t="s">
        <v>113</v>
      </c>
      <c r="J6" s="9" t="s">
        <v>32</v>
      </c>
      <c r="K6" s="9" t="s">
        <v>116</v>
      </c>
      <c r="L6" s="9" t="s">
        <v>118</v>
      </c>
    </row>
    <row r="7">
      <c r="A7" s="2">
        <v>11.0</v>
      </c>
      <c r="B7" s="2" t="s">
        <v>119</v>
      </c>
      <c r="C7" s="2" t="s">
        <v>120</v>
      </c>
      <c r="D7" s="4">
        <v>44522.375</v>
      </c>
      <c r="E7" s="2" t="s">
        <v>121</v>
      </c>
      <c r="F7" s="2">
        <v>0.0</v>
      </c>
      <c r="G7" s="4">
        <v>46219.66067344908</v>
      </c>
      <c r="H7" s="8" t="s">
        <v>124</v>
      </c>
      <c r="I7" s="9" t="s">
        <v>139</v>
      </c>
      <c r="J7" s="9" t="s">
        <v>32</v>
      </c>
      <c r="K7" s="9" t="s">
        <v>140</v>
      </c>
      <c r="L7" s="9" t="s">
        <v>141</v>
      </c>
    </row>
    <row r="8">
      <c r="A8" s="2">
        <v>12.0</v>
      </c>
      <c r="B8" s="2" t="s">
        <v>143</v>
      </c>
      <c r="C8" s="2" t="s">
        <v>19</v>
      </c>
      <c r="D8" s="4">
        <v>44544.375</v>
      </c>
      <c r="E8" s="2" t="s">
        <v>148</v>
      </c>
      <c r="F8" s="2">
        <v>0.0</v>
      </c>
      <c r="G8" s="4">
        <v>46219.661059247686</v>
      </c>
      <c r="I8" s="9" t="s">
        <v>152</v>
      </c>
      <c r="J8" s="9" t="s">
        <v>32</v>
      </c>
      <c r="K8" s="9" t="s">
        <v>33</v>
      </c>
      <c r="L8" s="9" t="s">
        <v>34</v>
      </c>
    </row>
    <row r="9">
      <c r="A9" s="2">
        <v>13.0</v>
      </c>
      <c r="B9" s="2" t="s">
        <v>153</v>
      </c>
      <c r="C9" s="2" t="s">
        <v>19</v>
      </c>
      <c r="D9" s="4">
        <v>44545.375</v>
      </c>
      <c r="E9" s="2" t="s">
        <v>155</v>
      </c>
      <c r="F9" s="2">
        <v>0.0</v>
      </c>
      <c r="G9" s="4">
        <v>46219.66105928241</v>
      </c>
      <c r="H9" s="8" t="s">
        <v>159</v>
      </c>
      <c r="I9" s="9" t="s">
        <v>165</v>
      </c>
      <c r="J9" s="9" t="s">
        <v>32</v>
      </c>
      <c r="K9" s="9" t="s">
        <v>166</v>
      </c>
      <c r="L9" s="9" t="s">
        <v>118</v>
      </c>
    </row>
    <row r="10">
      <c r="A10" s="2">
        <v>15.0</v>
      </c>
      <c r="B10" s="2" t="s">
        <v>167</v>
      </c>
      <c r="C10" s="2" t="s">
        <v>168</v>
      </c>
      <c r="D10" s="4">
        <v>42934.375</v>
      </c>
      <c r="E10" s="2" t="s">
        <v>169</v>
      </c>
      <c r="F10" s="2">
        <v>1.0</v>
      </c>
      <c r="G10" s="4">
        <v>46219.661059351856</v>
      </c>
      <c r="I10" s="9" t="s">
        <v>171</v>
      </c>
      <c r="J10" s="9" t="s">
        <v>172</v>
      </c>
      <c r="K10" s="9" t="s">
        <v>173</v>
      </c>
      <c r="L10" s="9" t="s">
        <v>175</v>
      </c>
    </row>
    <row r="11">
      <c r="A11" s="2">
        <v>16.0</v>
      </c>
      <c r="B11" s="2" t="s">
        <v>177</v>
      </c>
      <c r="C11" s="2" t="s">
        <v>168</v>
      </c>
      <c r="D11" s="4">
        <v>42934.375</v>
      </c>
      <c r="E11" s="2" t="s">
        <v>181</v>
      </c>
      <c r="F11" s="2">
        <v>0.0</v>
      </c>
      <c r="G11" s="4">
        <v>46219.66119363426</v>
      </c>
      <c r="I11" s="9" t="s">
        <v>182</v>
      </c>
      <c r="J11" s="9" t="s">
        <v>172</v>
      </c>
      <c r="K11" s="9" t="s">
        <v>184</v>
      </c>
      <c r="L11" s="9" t="s">
        <v>185</v>
      </c>
    </row>
    <row r="12">
      <c r="A12" s="2">
        <v>17.0</v>
      </c>
      <c r="B12" s="2" t="s">
        <v>188</v>
      </c>
      <c r="C12" s="2" t="s">
        <v>189</v>
      </c>
      <c r="D12" s="4">
        <v>44580.375</v>
      </c>
      <c r="E12" s="2" t="s">
        <v>190</v>
      </c>
      <c r="F12" s="2">
        <v>0.0</v>
      </c>
      <c r="G12" s="4">
        <v>46219.701244131946</v>
      </c>
      <c r="H12" s="8" t="s">
        <v>191</v>
      </c>
      <c r="I12" s="9" t="s">
        <v>196</v>
      </c>
      <c r="J12" s="9" t="s">
        <v>32</v>
      </c>
      <c r="K12" s="9" t="s">
        <v>198</v>
      </c>
      <c r="L12" s="9" t="s">
        <v>199</v>
      </c>
    </row>
    <row r="13">
      <c r="A13" s="2">
        <v>20.0</v>
      </c>
      <c r="B13" s="2" t="s">
        <v>201</v>
      </c>
      <c r="C13" s="2" t="s">
        <v>38</v>
      </c>
      <c r="D13" s="4">
        <v>45065.375</v>
      </c>
      <c r="E13" s="2" t="s">
        <v>202</v>
      </c>
      <c r="F13" s="2">
        <v>0.0</v>
      </c>
      <c r="G13" s="4">
        <v>46219.75613570602</v>
      </c>
      <c r="H13" s="8" t="s">
        <v>203</v>
      </c>
      <c r="I13" s="9" t="s">
        <v>208</v>
      </c>
      <c r="J13" s="9" t="s">
        <v>32</v>
      </c>
      <c r="K13" s="9" t="s">
        <v>210</v>
      </c>
      <c r="L13" s="9" t="s">
        <v>211</v>
      </c>
    </row>
    <row r="14">
      <c r="A14" s="2">
        <v>21.0</v>
      </c>
      <c r="B14" s="2" t="s">
        <v>212</v>
      </c>
      <c r="C14" s="2" t="s">
        <v>214</v>
      </c>
      <c r="D14" s="4">
        <v>45077.375</v>
      </c>
      <c r="E14" s="2" t="s">
        <v>216</v>
      </c>
      <c r="F14" s="2">
        <v>0.0</v>
      </c>
      <c r="G14" s="4">
        <v>46219.76611589121</v>
      </c>
      <c r="H14" s="8" t="s">
        <v>217</v>
      </c>
      <c r="I14" s="9" t="s">
        <v>222</v>
      </c>
      <c r="J14" s="9" t="s">
        <v>222</v>
      </c>
      <c r="K14" s="9" t="s">
        <v>222</v>
      </c>
      <c r="L14" s="9" t="s">
        <v>222</v>
      </c>
    </row>
    <row r="15">
      <c r="A15" s="2">
        <v>22.0</v>
      </c>
      <c r="B15" s="2" t="s">
        <v>223</v>
      </c>
      <c r="C15" s="2" t="s">
        <v>214</v>
      </c>
      <c r="D15" s="4">
        <v>43983.375</v>
      </c>
      <c r="E15" s="2" t="s">
        <v>224</v>
      </c>
      <c r="F15" s="2">
        <v>0.0</v>
      </c>
      <c r="G15" s="4">
        <v>46219.76611597222</v>
      </c>
      <c r="H15" s="8" t="s">
        <v>228</v>
      </c>
      <c r="I15" s="9" t="s">
        <v>165</v>
      </c>
      <c r="J15" s="9" t="s">
        <v>172</v>
      </c>
      <c r="K15" s="9" t="s">
        <v>230</v>
      </c>
      <c r="L15" s="9" t="s">
        <v>231</v>
      </c>
    </row>
    <row r="16">
      <c r="A16" s="2">
        <v>23.0</v>
      </c>
      <c r="B16" s="2" t="s">
        <v>232</v>
      </c>
      <c r="C16" s="2" t="s">
        <v>214</v>
      </c>
      <c r="D16" s="4">
        <v>44993.375</v>
      </c>
      <c r="E16" s="2" t="s">
        <v>233</v>
      </c>
      <c r="F16" s="2">
        <v>1.0</v>
      </c>
      <c r="G16" s="4">
        <v>46219.76611604167</v>
      </c>
      <c r="H16" s="8" t="s">
        <v>235</v>
      </c>
      <c r="I16" s="9" t="s">
        <v>222</v>
      </c>
      <c r="J16" s="9" t="s">
        <v>222</v>
      </c>
      <c r="K16" s="9" t="s">
        <v>222</v>
      </c>
      <c r="L16" s="9" t="s">
        <v>222</v>
      </c>
    </row>
    <row r="17">
      <c r="A17" s="2">
        <v>26.0</v>
      </c>
      <c r="B17" s="2" t="s">
        <v>237</v>
      </c>
      <c r="C17" s="2" t="s">
        <v>238</v>
      </c>
      <c r="D17" s="4">
        <v>44169.375</v>
      </c>
      <c r="E17" s="2" t="s">
        <v>239</v>
      </c>
      <c r="F17" s="2">
        <v>1.0</v>
      </c>
      <c r="G17" s="4">
        <v>46219.77115166667</v>
      </c>
      <c r="H17" s="8" t="s">
        <v>242</v>
      </c>
      <c r="I17" s="9" t="s">
        <v>41</v>
      </c>
      <c r="J17" s="9" t="s">
        <v>32</v>
      </c>
      <c r="K17" s="9" t="s">
        <v>245</v>
      </c>
      <c r="L17" s="9" t="s">
        <v>246</v>
      </c>
    </row>
    <row r="18">
      <c r="A18" s="2">
        <v>27.0</v>
      </c>
      <c r="B18" s="2" t="s">
        <v>247</v>
      </c>
      <c r="C18" s="2" t="s">
        <v>248</v>
      </c>
      <c r="D18" s="4">
        <v>45469.375</v>
      </c>
      <c r="E18" s="2" t="s">
        <v>249</v>
      </c>
      <c r="F18" s="2">
        <v>0.0</v>
      </c>
      <c r="G18" s="4">
        <v>46219.78261880787</v>
      </c>
      <c r="H18" s="8" t="s">
        <v>250</v>
      </c>
      <c r="I18" s="9" t="s">
        <v>222</v>
      </c>
      <c r="J18" s="9" t="s">
        <v>222</v>
      </c>
      <c r="K18" s="9" t="s">
        <v>222</v>
      </c>
      <c r="L18" s="9" t="s">
        <v>222</v>
      </c>
    </row>
    <row r="19">
      <c r="A19" s="2">
        <v>28.0</v>
      </c>
      <c r="B19" s="2" t="s">
        <v>255</v>
      </c>
      <c r="C19" s="2" t="s">
        <v>256</v>
      </c>
      <c r="D19" s="4">
        <v>44803.375</v>
      </c>
      <c r="E19" s="2" t="s">
        <v>257</v>
      </c>
      <c r="F19" s="2">
        <v>0.0</v>
      </c>
      <c r="G19" s="4">
        <v>46219.79195697917</v>
      </c>
      <c r="H19" s="8" t="s">
        <v>258</v>
      </c>
      <c r="I19" s="9" t="s">
        <v>261</v>
      </c>
      <c r="J19" s="9" t="s">
        <v>172</v>
      </c>
      <c r="K19" s="9" t="s">
        <v>262</v>
      </c>
      <c r="L19" s="9" t="s">
        <v>263</v>
      </c>
    </row>
    <row r="20">
      <c r="A20" s="2">
        <v>30.0</v>
      </c>
      <c r="B20" s="2" t="s">
        <v>264</v>
      </c>
      <c r="C20" s="2" t="s">
        <v>19</v>
      </c>
      <c r="D20" s="4">
        <v>45236.375</v>
      </c>
      <c r="E20" s="2" t="s">
        <v>265</v>
      </c>
      <c r="F20" s="2">
        <v>0.0</v>
      </c>
      <c r="G20" s="4">
        <v>46219.837956724536</v>
      </c>
      <c r="H20" s="8" t="s">
        <v>267</v>
      </c>
      <c r="I20" s="9" t="s">
        <v>165</v>
      </c>
      <c r="J20" s="9" t="s">
        <v>32</v>
      </c>
      <c r="K20" s="9" t="s">
        <v>116</v>
      </c>
      <c r="L20" s="9" t="s">
        <v>118</v>
      </c>
    </row>
    <row r="21">
      <c r="A21" s="2">
        <v>31.0</v>
      </c>
      <c r="B21" s="2" t="s">
        <v>270</v>
      </c>
      <c r="C21" s="2" t="s">
        <v>271</v>
      </c>
      <c r="D21" s="4">
        <v>45161.375</v>
      </c>
      <c r="E21" s="2" t="s">
        <v>272</v>
      </c>
      <c r="F21" s="2">
        <v>0.0</v>
      </c>
      <c r="G21" s="4">
        <v>46219.83795678241</v>
      </c>
      <c r="I21" s="9" t="s">
        <v>87</v>
      </c>
      <c r="J21" s="9" t="s">
        <v>32</v>
      </c>
      <c r="K21" s="9" t="s">
        <v>273</v>
      </c>
      <c r="L21" s="9" t="s">
        <v>275</v>
      </c>
    </row>
    <row r="22">
      <c r="A22" s="2">
        <v>32.0</v>
      </c>
      <c r="B22" s="2" t="s">
        <v>277</v>
      </c>
      <c r="C22" s="2" t="s">
        <v>168</v>
      </c>
      <c r="D22" s="4">
        <v>42934.375</v>
      </c>
      <c r="E22" s="2" t="s">
        <v>278</v>
      </c>
      <c r="F22" s="2">
        <v>0.0</v>
      </c>
      <c r="G22" s="4">
        <v>46219.84186842592</v>
      </c>
      <c r="I22" s="9" t="s">
        <v>279</v>
      </c>
      <c r="J22" s="9" t="s">
        <v>32</v>
      </c>
      <c r="K22" s="9" t="s">
        <v>280</v>
      </c>
      <c r="L22" s="9" t="s">
        <v>281</v>
      </c>
    </row>
    <row r="23">
      <c r="A23" s="2">
        <v>33.0</v>
      </c>
      <c r="B23" s="2" t="s">
        <v>283</v>
      </c>
      <c r="C23" s="2" t="s">
        <v>285</v>
      </c>
      <c r="D23" s="4">
        <v>44648.375</v>
      </c>
      <c r="E23" s="2" t="s">
        <v>286</v>
      </c>
      <c r="F23" s="2">
        <v>0.0</v>
      </c>
      <c r="G23" s="4">
        <v>46219.84834539352</v>
      </c>
      <c r="H23" s="8" t="s">
        <v>287</v>
      </c>
      <c r="I23" s="9" t="s">
        <v>222</v>
      </c>
      <c r="J23" s="9" t="s">
        <v>222</v>
      </c>
      <c r="K23" s="9" t="s">
        <v>222</v>
      </c>
      <c r="L23" s="9" t="s">
        <v>222</v>
      </c>
    </row>
    <row r="24">
      <c r="A24" s="2">
        <v>34.0</v>
      </c>
      <c r="B24" s="2" t="s">
        <v>293</v>
      </c>
      <c r="C24" s="2" t="s">
        <v>120</v>
      </c>
      <c r="D24" s="4">
        <v>44519.375</v>
      </c>
      <c r="E24" s="2" t="s">
        <v>296</v>
      </c>
      <c r="F24" s="2">
        <v>0.0</v>
      </c>
      <c r="G24" s="4">
        <v>46221.40232945602</v>
      </c>
      <c r="H24" s="8" t="s">
        <v>297</v>
      </c>
      <c r="I24" s="9" t="s">
        <v>87</v>
      </c>
      <c r="J24" s="9" t="s">
        <v>32</v>
      </c>
      <c r="K24" s="9" t="s">
        <v>89</v>
      </c>
      <c r="L24" s="9" t="s">
        <v>90</v>
      </c>
    </row>
    <row r="25">
      <c r="A25" s="2">
        <v>35.0</v>
      </c>
      <c r="B25" s="2" t="s">
        <v>300</v>
      </c>
      <c r="C25" s="2" t="s">
        <v>19</v>
      </c>
      <c r="D25" s="16">
        <v>44454.375</v>
      </c>
      <c r="E25" s="2" t="s">
        <v>302</v>
      </c>
      <c r="F25" s="2">
        <v>1.0</v>
      </c>
      <c r="G25" s="16">
        <v>46221.411838368054</v>
      </c>
      <c r="H25" s="8" t="s">
        <v>306</v>
      </c>
      <c r="I25" s="9" t="s">
        <v>317</v>
      </c>
      <c r="J25" s="9" t="s">
        <v>32</v>
      </c>
      <c r="K25" s="9" t="s">
        <v>318</v>
      </c>
      <c r="L25" s="9" t="s">
        <v>319</v>
      </c>
    </row>
    <row r="26">
      <c r="A26" s="2">
        <v>36.0</v>
      </c>
      <c r="B26" s="2" t="s">
        <v>320</v>
      </c>
      <c r="C26" s="2" t="s">
        <v>168</v>
      </c>
      <c r="D26" s="16">
        <v>42934.375</v>
      </c>
      <c r="E26" s="2" t="s">
        <v>326</v>
      </c>
      <c r="F26" s="2">
        <v>0.0</v>
      </c>
      <c r="G26" s="16">
        <v>46221.42384415509</v>
      </c>
      <c r="I26" s="9" t="s">
        <v>328</v>
      </c>
      <c r="J26" s="9" t="s">
        <v>32</v>
      </c>
      <c r="K26" s="9" t="s">
        <v>329</v>
      </c>
      <c r="L26" s="9" t="s">
        <v>331</v>
      </c>
    </row>
    <row r="27">
      <c r="A27" s="2">
        <v>37.0</v>
      </c>
      <c r="B27" s="2" t="s">
        <v>333</v>
      </c>
      <c r="C27" s="2" t="s">
        <v>19</v>
      </c>
      <c r="D27" s="16">
        <v>44517.375</v>
      </c>
      <c r="E27" s="2" t="s">
        <v>336</v>
      </c>
      <c r="F27" s="2">
        <v>0.0</v>
      </c>
      <c r="G27" s="16">
        <v>46221.43477748842</v>
      </c>
      <c r="H27" s="8" t="s">
        <v>337</v>
      </c>
      <c r="I27" s="9" t="s">
        <v>87</v>
      </c>
      <c r="J27" s="9" t="s">
        <v>32</v>
      </c>
      <c r="K27" s="9" t="s">
        <v>345</v>
      </c>
      <c r="L27" s="9" t="s">
        <v>346</v>
      </c>
    </row>
    <row r="28">
      <c r="A28" s="2">
        <v>38.0</v>
      </c>
      <c r="B28" s="2" t="s">
        <v>347</v>
      </c>
      <c r="C28" s="2" t="s">
        <v>168</v>
      </c>
      <c r="D28" s="16">
        <v>42934.375</v>
      </c>
      <c r="E28" s="2" t="s">
        <v>348</v>
      </c>
      <c r="F28" s="2">
        <v>0.0</v>
      </c>
      <c r="G28" s="16">
        <v>46221.43489733797</v>
      </c>
      <c r="I28" s="9" t="s">
        <v>182</v>
      </c>
      <c r="J28" s="9" t="s">
        <v>172</v>
      </c>
      <c r="K28" s="9" t="s">
        <v>184</v>
      </c>
      <c r="L28" s="9" t="s">
        <v>185</v>
      </c>
    </row>
    <row r="29">
      <c r="A29" s="2">
        <v>39.0</v>
      </c>
      <c r="B29" s="2" t="s">
        <v>352</v>
      </c>
      <c r="C29" s="2" t="s">
        <v>353</v>
      </c>
      <c r="D29" s="16">
        <v>44732.375</v>
      </c>
      <c r="E29" s="2" t="s">
        <v>354</v>
      </c>
      <c r="F29" s="2">
        <v>0.0</v>
      </c>
      <c r="G29" s="16">
        <v>46221.44813060186</v>
      </c>
      <c r="H29" s="8" t="s">
        <v>356</v>
      </c>
      <c r="I29" s="9" t="s">
        <v>363</v>
      </c>
      <c r="J29" s="9" t="s">
        <v>32</v>
      </c>
      <c r="K29" s="9" t="s">
        <v>365</v>
      </c>
      <c r="L29" s="9" t="s">
        <v>366</v>
      </c>
    </row>
    <row r="30">
      <c r="A30" s="2">
        <v>40.0</v>
      </c>
      <c r="B30" s="2" t="s">
        <v>368</v>
      </c>
      <c r="C30" s="2" t="s">
        <v>370</v>
      </c>
      <c r="D30" s="16">
        <v>45293.375</v>
      </c>
      <c r="E30" s="2" t="s">
        <v>371</v>
      </c>
      <c r="F30" s="2">
        <v>0.0</v>
      </c>
      <c r="G30" s="16">
        <v>46221.4481306713</v>
      </c>
      <c r="H30" s="8" t="s">
        <v>373</v>
      </c>
      <c r="I30" s="9" t="s">
        <v>382</v>
      </c>
      <c r="J30" s="9" t="s">
        <v>32</v>
      </c>
      <c r="K30" s="9" t="s">
        <v>384</v>
      </c>
      <c r="L30" s="9" t="s">
        <v>386</v>
      </c>
    </row>
    <row r="31">
      <c r="A31" s="2">
        <v>41.0</v>
      </c>
      <c r="B31" s="2" t="s">
        <v>388</v>
      </c>
      <c r="C31" s="2" t="s">
        <v>370</v>
      </c>
      <c r="D31" s="16">
        <v>45293.375</v>
      </c>
      <c r="E31" s="2" t="s">
        <v>391</v>
      </c>
      <c r="F31" s="2">
        <v>0.0</v>
      </c>
      <c r="G31" s="16">
        <v>46221.44813071759</v>
      </c>
      <c r="H31" s="8" t="s">
        <v>394</v>
      </c>
      <c r="I31" s="9" t="s">
        <v>405</v>
      </c>
      <c r="J31" s="9" t="s">
        <v>32</v>
      </c>
      <c r="K31" s="9" t="s">
        <v>406</v>
      </c>
      <c r="L31" s="9" t="s">
        <v>408</v>
      </c>
    </row>
    <row r="32">
      <c r="A32" s="2">
        <v>42.0</v>
      </c>
      <c r="B32" s="2" t="s">
        <v>411</v>
      </c>
      <c r="C32" s="2" t="s">
        <v>413</v>
      </c>
      <c r="D32" s="16">
        <v>46221.44782716435</v>
      </c>
      <c r="E32" s="2" t="s">
        <v>416</v>
      </c>
      <c r="F32" s="2">
        <v>0.0</v>
      </c>
      <c r="G32" s="16">
        <v>46221.44813078704</v>
      </c>
      <c r="H32" s="8" t="s">
        <v>419</v>
      </c>
      <c r="I32" s="9" t="s">
        <v>432</v>
      </c>
      <c r="J32" s="9" t="s">
        <v>32</v>
      </c>
      <c r="K32" s="9" t="s">
        <v>433</v>
      </c>
      <c r="L32" s="9" t="s">
        <v>435</v>
      </c>
    </row>
    <row r="33">
      <c r="A33" s="2">
        <v>43.0</v>
      </c>
      <c r="B33" s="2" t="s">
        <v>439</v>
      </c>
      <c r="C33" s="2" t="s">
        <v>441</v>
      </c>
      <c r="D33" s="16">
        <v>46221.44782716435</v>
      </c>
      <c r="E33" s="2" t="s">
        <v>445</v>
      </c>
      <c r="F33" s="2">
        <v>0.0</v>
      </c>
      <c r="G33" s="16">
        <v>46221.44813085649</v>
      </c>
      <c r="H33" s="8" t="s">
        <v>448</v>
      </c>
      <c r="I33" s="9" t="s">
        <v>459</v>
      </c>
      <c r="J33" s="9" t="s">
        <v>172</v>
      </c>
      <c r="K33" s="9" t="s">
        <v>461</v>
      </c>
      <c r="L33" s="9" t="s">
        <v>463</v>
      </c>
    </row>
    <row r="34">
      <c r="A34" s="2">
        <v>44.0</v>
      </c>
      <c r="B34" s="2" t="s">
        <v>270</v>
      </c>
      <c r="C34" s="2" t="s">
        <v>271</v>
      </c>
      <c r="D34" s="16">
        <v>45161.375</v>
      </c>
      <c r="E34" s="2" t="s">
        <v>469</v>
      </c>
      <c r="F34" s="2">
        <v>0.0</v>
      </c>
      <c r="G34" s="16">
        <v>46223.31590832176</v>
      </c>
      <c r="I34" s="9" t="s">
        <v>87</v>
      </c>
      <c r="J34" s="9" t="s">
        <v>32</v>
      </c>
      <c r="K34" s="9" t="s">
        <v>273</v>
      </c>
      <c r="L34" s="9" t="s">
        <v>275</v>
      </c>
    </row>
    <row r="35">
      <c r="A35" s="2">
        <v>45.0</v>
      </c>
      <c r="B35" s="2" t="s">
        <v>476</v>
      </c>
      <c r="C35" s="2" t="s">
        <v>478</v>
      </c>
      <c r="D35" s="16">
        <v>43998.375</v>
      </c>
      <c r="E35" s="2" t="s">
        <v>481</v>
      </c>
      <c r="F35" s="2">
        <v>0.0</v>
      </c>
      <c r="G35" s="16">
        <v>46223.61694972222</v>
      </c>
      <c r="H35" s="8" t="s">
        <v>484</v>
      </c>
      <c r="I35" s="9" t="s">
        <v>494</v>
      </c>
      <c r="J35" s="9" t="s">
        <v>172</v>
      </c>
      <c r="K35" s="9" t="s">
        <v>496</v>
      </c>
      <c r="L35" s="9" t="s">
        <v>497</v>
      </c>
    </row>
    <row r="36">
      <c r="A36" s="2">
        <v>46.0</v>
      </c>
      <c r="B36" s="2" t="s">
        <v>500</v>
      </c>
      <c r="C36" s="2" t="s">
        <v>46</v>
      </c>
      <c r="D36" s="16">
        <v>44970.375</v>
      </c>
      <c r="E36" s="2" t="s">
        <v>505</v>
      </c>
      <c r="F36" s="2">
        <v>0.0</v>
      </c>
      <c r="G36" s="16">
        <v>46225.35240466435</v>
      </c>
      <c r="H36" s="8" t="s">
        <v>508</v>
      </c>
      <c r="I36" s="9" t="s">
        <v>517</v>
      </c>
      <c r="J36" s="9" t="s">
        <v>32</v>
      </c>
      <c r="K36" s="9" t="s">
        <v>518</v>
      </c>
      <c r="L36" s="9" t="s">
        <v>519</v>
      </c>
    </row>
    <row r="37">
      <c r="A37" s="2">
        <v>47.0</v>
      </c>
      <c r="B37" s="2" t="s">
        <v>520</v>
      </c>
      <c r="C37" s="2" t="s">
        <v>521</v>
      </c>
      <c r="D37" s="16">
        <v>44929.375</v>
      </c>
      <c r="E37" s="2" t="s">
        <v>522</v>
      </c>
      <c r="F37" s="2">
        <v>0.0</v>
      </c>
      <c r="G37" s="16">
        <v>46225.418125752316</v>
      </c>
      <c r="H37" s="8" t="s">
        <v>524</v>
      </c>
      <c r="I37" s="9" t="s">
        <v>531</v>
      </c>
      <c r="J37" s="9" t="s">
        <v>32</v>
      </c>
      <c r="K37" s="9" t="s">
        <v>533</v>
      </c>
      <c r="L37" s="9" t="s">
        <v>535</v>
      </c>
    </row>
    <row r="38">
      <c r="A38" s="2">
        <v>48.0</v>
      </c>
      <c r="B38" s="2" t="s">
        <v>539</v>
      </c>
      <c r="C38" s="2" t="s">
        <v>541</v>
      </c>
      <c r="D38" s="16">
        <v>46225.43523050926</v>
      </c>
      <c r="E38" s="2" t="s">
        <v>544</v>
      </c>
      <c r="F38" s="2">
        <v>0.0</v>
      </c>
      <c r="G38" s="16">
        <v>46225.435349363426</v>
      </c>
      <c r="I38" s="9" t="s">
        <v>222</v>
      </c>
      <c r="J38" s="9" t="s">
        <v>172</v>
      </c>
      <c r="K38" s="9" t="s">
        <v>550</v>
      </c>
      <c r="L38" s="9" t="s">
        <v>552</v>
      </c>
    </row>
    <row r="39">
      <c r="A39" s="2">
        <v>49.0</v>
      </c>
      <c r="B39" s="2" t="s">
        <v>556</v>
      </c>
      <c r="C39" s="2" t="s">
        <v>46</v>
      </c>
      <c r="D39" s="16">
        <v>45209.375</v>
      </c>
      <c r="E39" s="2" t="s">
        <v>561</v>
      </c>
      <c r="F39" s="2">
        <v>0.0</v>
      </c>
      <c r="G39" s="16">
        <v>46225.435680740746</v>
      </c>
      <c r="I39" s="9" t="s">
        <v>563</v>
      </c>
      <c r="J39" s="9" t="s">
        <v>32</v>
      </c>
      <c r="K39" s="9" t="s">
        <v>566</v>
      </c>
      <c r="L39" s="9" t="s">
        <v>568</v>
      </c>
    </row>
    <row r="40">
      <c r="A40" s="2">
        <v>50.0</v>
      </c>
      <c r="B40" s="2" t="s">
        <v>37</v>
      </c>
      <c r="C40" s="2" t="s">
        <v>38</v>
      </c>
      <c r="D40" s="16">
        <v>42837.375</v>
      </c>
      <c r="E40" s="2" t="s">
        <v>576</v>
      </c>
      <c r="F40" s="2">
        <v>0.0</v>
      </c>
      <c r="G40" s="16">
        <v>46225.43568076389</v>
      </c>
      <c r="I40" s="9" t="s">
        <v>581</v>
      </c>
      <c r="J40" s="9" t="s">
        <v>32</v>
      </c>
      <c r="K40" s="9" t="s">
        <v>42</v>
      </c>
      <c r="L40" s="9" t="s">
        <v>585</v>
      </c>
    </row>
    <row r="41">
      <c r="A41" s="2"/>
      <c r="B41" s="2"/>
      <c r="C41" s="2"/>
      <c r="D41" s="16"/>
      <c r="E41" s="2"/>
      <c r="F41" s="2"/>
      <c r="G41" s="16"/>
    </row>
    <row r="42">
      <c r="A42" s="2"/>
      <c r="B42" s="2"/>
      <c r="C42" s="2"/>
      <c r="D42" s="16"/>
      <c r="E42" s="2"/>
      <c r="F42" s="2"/>
      <c r="G42" s="16"/>
    </row>
    <row r="43">
      <c r="A43" s="2"/>
      <c r="B43" s="2"/>
      <c r="C43" s="2"/>
      <c r="D43" s="16"/>
      <c r="E43" s="2"/>
      <c r="F43" s="2"/>
      <c r="G43" s="16"/>
    </row>
    <row r="44">
      <c r="A44" s="2"/>
      <c r="B44" s="2"/>
      <c r="C44" s="2"/>
      <c r="D44" s="16"/>
      <c r="E44" s="2"/>
      <c r="F44" s="2"/>
      <c r="G44" s="16"/>
    </row>
    <row r="45">
      <c r="A45" s="2"/>
      <c r="B45" s="2"/>
      <c r="C45" s="2"/>
      <c r="D45" s="16"/>
      <c r="E45" s="2"/>
      <c r="F45" s="2"/>
      <c r="G45" s="16"/>
    </row>
    <row r="46">
      <c r="A46" s="2"/>
      <c r="B46" s="2"/>
      <c r="C46" s="2"/>
      <c r="D46" s="16"/>
      <c r="E46" s="2"/>
      <c r="F46" s="2"/>
      <c r="G46" s="16"/>
    </row>
    <row r="47">
      <c r="A47" s="2"/>
      <c r="B47" s="2"/>
      <c r="C47" s="2"/>
      <c r="D47" s="16"/>
      <c r="E47" s="2"/>
      <c r="F47" s="2"/>
      <c r="G47" s="16"/>
    </row>
    <row r="48">
      <c r="A48" s="2"/>
      <c r="B48" s="2"/>
      <c r="C48" s="2"/>
      <c r="D48" s="16"/>
      <c r="E48" s="2"/>
      <c r="F48" s="2"/>
      <c r="G48" s="16"/>
    </row>
    <row r="49">
      <c r="A49" s="2"/>
      <c r="B49" s="2"/>
      <c r="C49" s="2"/>
      <c r="D49" s="16"/>
      <c r="E49" s="2"/>
      <c r="F49" s="2"/>
      <c r="G49" s="16"/>
    </row>
    <row r="50">
      <c r="A50" s="2"/>
      <c r="B50" s="2"/>
      <c r="C50" s="2"/>
      <c r="D50" s="16"/>
      <c r="E50" s="2"/>
      <c r="F50" s="2"/>
      <c r="G50" s="16"/>
    </row>
    <row r="51">
      <c r="A51" s="2"/>
      <c r="B51" s="2"/>
      <c r="C51" s="2"/>
      <c r="D51" s="16"/>
      <c r="E51" s="2"/>
      <c r="F51" s="2"/>
      <c r="G51" s="16"/>
    </row>
    <row r="52">
      <c r="A52" s="2"/>
      <c r="B52" s="2"/>
      <c r="C52" s="2"/>
      <c r="D52" s="16"/>
      <c r="E52" s="2"/>
      <c r="F52" s="2"/>
      <c r="G52" s="16"/>
    </row>
    <row r="53">
      <c r="A53" s="2"/>
      <c r="B53" s="2"/>
      <c r="C53" s="2"/>
      <c r="D53" s="16"/>
      <c r="E53" s="2"/>
      <c r="F53" s="2"/>
      <c r="G53" s="16"/>
    </row>
    <row r="54">
      <c r="A54" s="2"/>
      <c r="B54" s="2"/>
      <c r="C54" s="2"/>
      <c r="D54" s="16"/>
      <c r="E54" s="2"/>
      <c r="F54" s="2"/>
      <c r="G54" s="16"/>
    </row>
    <row r="55">
      <c r="A55" s="2"/>
      <c r="B55" s="2"/>
      <c r="C55" s="2"/>
      <c r="D55" s="16"/>
      <c r="E55" s="2"/>
      <c r="F55" s="2"/>
      <c r="G55" s="16"/>
    </row>
    <row r="56">
      <c r="A56" s="2"/>
      <c r="B56" s="2"/>
      <c r="C56" s="2"/>
      <c r="D56" s="16"/>
      <c r="E56" s="2"/>
      <c r="F56" s="2"/>
      <c r="G56" s="16"/>
    </row>
    <row r="57">
      <c r="A57" s="2"/>
      <c r="B57" s="2"/>
      <c r="C57" s="2"/>
      <c r="D57" s="16"/>
      <c r="E57" s="2"/>
      <c r="F57" s="2"/>
      <c r="G57" s="16"/>
    </row>
    <row r="58">
      <c r="A58" s="2"/>
      <c r="B58" s="2"/>
      <c r="C58" s="2"/>
      <c r="D58" s="16"/>
      <c r="E58" s="2"/>
      <c r="F58" s="2"/>
      <c r="G58" s="16"/>
    </row>
    <row r="59">
      <c r="A59" s="2"/>
      <c r="B59" s="2"/>
      <c r="C59" s="2"/>
      <c r="D59" s="16"/>
      <c r="E59" s="2"/>
      <c r="F59" s="2"/>
      <c r="G59" s="16"/>
    </row>
    <row r="60">
      <c r="A60" s="2"/>
      <c r="B60" s="2"/>
      <c r="C60" s="2"/>
      <c r="D60" s="16"/>
      <c r="E60" s="2"/>
      <c r="F60" s="2"/>
      <c r="G60" s="16"/>
    </row>
    <row r="61">
      <c r="A61" s="2"/>
      <c r="B61" s="2"/>
      <c r="C61" s="2"/>
      <c r="D61" s="16"/>
      <c r="E61" s="2"/>
      <c r="F61" s="2"/>
      <c r="G61" s="16"/>
    </row>
    <row r="62">
      <c r="A62" s="2"/>
      <c r="B62" s="2"/>
      <c r="C62" s="2"/>
      <c r="D62" s="16"/>
      <c r="E62" s="2"/>
      <c r="F62" s="2"/>
      <c r="G62" s="16"/>
    </row>
    <row r="63">
      <c r="A63" s="2"/>
      <c r="B63" s="2"/>
      <c r="C63" s="2"/>
      <c r="D63" s="16"/>
      <c r="E63" s="2"/>
      <c r="F63" s="2"/>
      <c r="G63" s="16"/>
    </row>
    <row r="64">
      <c r="A64" s="2"/>
      <c r="B64" s="2"/>
      <c r="C64" s="2"/>
      <c r="D64" s="16"/>
      <c r="E64" s="2"/>
      <c r="F64" s="2"/>
      <c r="G64" s="16"/>
    </row>
    <row r="65">
      <c r="A65" s="2"/>
      <c r="B65" s="2"/>
      <c r="C65" s="2"/>
      <c r="D65" s="16"/>
      <c r="E65" s="2"/>
      <c r="F65" s="2"/>
      <c r="G65" s="16"/>
    </row>
    <row r="66">
      <c r="A66" s="2"/>
      <c r="B66" s="2"/>
      <c r="C66" s="2"/>
      <c r="D66" s="16"/>
      <c r="E66" s="2"/>
      <c r="F66" s="2"/>
      <c r="G66" s="16"/>
    </row>
    <row r="67">
      <c r="A67" s="2"/>
      <c r="B67" s="2"/>
      <c r="C67" s="2"/>
      <c r="D67" s="16"/>
      <c r="E67" s="2"/>
      <c r="F67" s="2"/>
      <c r="G67" s="16"/>
    </row>
    <row r="68">
      <c r="A68" s="2"/>
      <c r="B68" s="2"/>
      <c r="C68" s="2"/>
      <c r="D68" s="16"/>
      <c r="E68" s="2"/>
      <c r="F68" s="2"/>
      <c r="G68" s="16"/>
    </row>
    <row r="69">
      <c r="A69" s="2"/>
      <c r="B69" s="2"/>
      <c r="C69" s="2"/>
      <c r="D69" s="16"/>
      <c r="E69" s="2"/>
      <c r="F69" s="2"/>
      <c r="G69" s="16"/>
    </row>
    <row r="70">
      <c r="A70" s="2"/>
      <c r="B70" s="2"/>
      <c r="C70" s="2"/>
      <c r="D70" s="16"/>
      <c r="E70" s="2"/>
      <c r="F70" s="2"/>
      <c r="G70" s="16"/>
    </row>
    <row r="71">
      <c r="A71" s="2"/>
      <c r="B71" s="2"/>
      <c r="C71" s="2"/>
      <c r="D71" s="16"/>
      <c r="E71" s="2"/>
      <c r="F71" s="2"/>
      <c r="G71" s="16"/>
    </row>
    <row r="72">
      <c r="A72" s="2"/>
      <c r="B72" s="2"/>
      <c r="C72" s="2"/>
      <c r="D72" s="16"/>
      <c r="E72" s="2"/>
      <c r="F72" s="2"/>
      <c r="G72" s="16"/>
    </row>
    <row r="73">
      <c r="A73" s="2"/>
      <c r="B73" s="2"/>
      <c r="C73" s="2"/>
      <c r="D73" s="16"/>
      <c r="E73" s="2"/>
      <c r="F73" s="2"/>
      <c r="G73" s="16"/>
    </row>
    <row r="74">
      <c r="A74" s="2"/>
      <c r="B74" s="2"/>
      <c r="C74" s="2"/>
      <c r="D74" s="16"/>
      <c r="E74" s="2"/>
      <c r="F74" s="2"/>
      <c r="G74" s="16"/>
    </row>
    <row r="75">
      <c r="A75" s="2"/>
      <c r="B75" s="2"/>
      <c r="C75" s="2"/>
      <c r="D75" s="16"/>
      <c r="E75" s="2"/>
      <c r="F75" s="2"/>
      <c r="G75" s="16"/>
    </row>
    <row r="76">
      <c r="A76" s="2"/>
      <c r="B76" s="2"/>
      <c r="C76" s="2"/>
      <c r="D76" s="16"/>
      <c r="E76" s="2"/>
      <c r="F76" s="2"/>
      <c r="G76" s="16"/>
    </row>
    <row r="77">
      <c r="A77" s="2"/>
      <c r="B77" s="2"/>
      <c r="C77" s="2"/>
      <c r="D77" s="16"/>
      <c r="E77" s="2"/>
      <c r="F77" s="2"/>
      <c r="G77" s="16"/>
    </row>
    <row r="78">
      <c r="A78" s="2"/>
      <c r="B78" s="2"/>
      <c r="C78" s="2"/>
      <c r="D78" s="16"/>
      <c r="E78" s="2"/>
      <c r="F78" s="2"/>
      <c r="G78" s="16"/>
    </row>
    <row r="79">
      <c r="A79" s="2"/>
      <c r="B79" s="2"/>
      <c r="C79" s="2"/>
      <c r="D79" s="16"/>
      <c r="E79" s="2"/>
      <c r="F79" s="2"/>
      <c r="G79" s="16"/>
    </row>
    <row r="80">
      <c r="A80" s="2"/>
      <c r="B80" s="2"/>
      <c r="C80" s="2"/>
      <c r="D80" s="16"/>
      <c r="E80" s="2"/>
      <c r="F80" s="2"/>
      <c r="G80" s="16"/>
    </row>
    <row r="81">
      <c r="A81" s="2"/>
      <c r="B81" s="2"/>
      <c r="C81" s="2"/>
      <c r="D81" s="16"/>
      <c r="E81" s="2"/>
      <c r="F81" s="2"/>
      <c r="G81" s="16"/>
    </row>
    <row r="82">
      <c r="A82" s="2"/>
      <c r="B82" s="2"/>
      <c r="C82" s="2"/>
      <c r="D82" s="16"/>
      <c r="E82" s="2"/>
      <c r="F82" s="2"/>
      <c r="G82" s="16"/>
    </row>
    <row r="83">
      <c r="A83" s="2"/>
      <c r="B83" s="2"/>
      <c r="C83" s="2"/>
      <c r="D83" s="16"/>
      <c r="E83" s="2"/>
      <c r="F83" s="2"/>
      <c r="G83" s="16"/>
    </row>
    <row r="84">
      <c r="A84" s="2"/>
      <c r="B84" s="2"/>
      <c r="C84" s="2"/>
      <c r="D84" s="16"/>
      <c r="E84" s="2"/>
      <c r="F84" s="2"/>
      <c r="G84" s="16"/>
    </row>
    <row r="85">
      <c r="A85" s="2"/>
      <c r="B85" s="2"/>
      <c r="C85" s="2"/>
      <c r="D85" s="16"/>
      <c r="E85" s="2"/>
      <c r="F85" s="2"/>
      <c r="G85" s="16"/>
    </row>
    <row r="86">
      <c r="A86" s="2"/>
      <c r="B86" s="2"/>
      <c r="C86" s="2"/>
      <c r="D86" s="16"/>
      <c r="E86" s="2"/>
      <c r="F86" s="2"/>
      <c r="G86" s="16"/>
    </row>
    <row r="87">
      <c r="A87" s="2"/>
      <c r="B87" s="2"/>
      <c r="C87" s="2"/>
      <c r="D87" s="16"/>
      <c r="E87" s="2"/>
      <c r="F87" s="2"/>
      <c r="G87" s="16"/>
    </row>
    <row r="88">
      <c r="A88" s="2"/>
      <c r="B88" s="2"/>
      <c r="C88" s="2"/>
      <c r="D88" s="16"/>
      <c r="E88" s="2"/>
      <c r="F88" s="2"/>
      <c r="G88" s="16"/>
    </row>
    <row r="89">
      <c r="A89" s="2"/>
      <c r="B89" s="2"/>
      <c r="C89" s="2"/>
      <c r="D89" s="16"/>
      <c r="E89" s="2"/>
      <c r="F89" s="2"/>
      <c r="G89" s="16"/>
    </row>
    <row r="90">
      <c r="A90" s="2"/>
      <c r="B90" s="2"/>
      <c r="C90" s="2"/>
      <c r="D90" s="16"/>
      <c r="E90" s="2"/>
      <c r="F90" s="2"/>
      <c r="G90" s="16"/>
    </row>
    <row r="91">
      <c r="A91" s="2"/>
      <c r="B91" s="2"/>
      <c r="C91" s="2"/>
      <c r="D91" s="16"/>
      <c r="E91" s="2"/>
      <c r="F91" s="2"/>
      <c r="G91" s="16"/>
    </row>
    <row r="92">
      <c r="A92" s="2"/>
      <c r="B92" s="2"/>
      <c r="C92" s="2"/>
      <c r="D92" s="16"/>
      <c r="E92" s="2"/>
      <c r="F92" s="2"/>
      <c r="G92" s="16"/>
    </row>
    <row r="93">
      <c r="A93" s="2"/>
      <c r="B93" s="2"/>
      <c r="C93" s="2"/>
      <c r="D93" s="16"/>
      <c r="E93" s="2"/>
      <c r="F93" s="2"/>
      <c r="G93" s="16"/>
    </row>
    <row r="94">
      <c r="A94" s="2"/>
      <c r="B94" s="2"/>
      <c r="C94" s="2"/>
      <c r="D94" s="16"/>
      <c r="E94" s="2"/>
      <c r="F94" s="2"/>
      <c r="G94" s="16"/>
    </row>
    <row r="95">
      <c r="A95" s="2"/>
      <c r="B95" s="2"/>
      <c r="C95" s="2"/>
      <c r="D95" s="16"/>
      <c r="E95" s="2"/>
      <c r="F95" s="2"/>
      <c r="G95" s="16"/>
    </row>
    <row r="96">
      <c r="A96" s="2"/>
      <c r="B96" s="2"/>
      <c r="C96" s="2"/>
      <c r="D96" s="16"/>
      <c r="E96" s="2"/>
      <c r="F96" s="2"/>
      <c r="G96" s="16"/>
    </row>
    <row r="97">
      <c r="A97" s="2"/>
      <c r="B97" s="2"/>
      <c r="C97" s="2"/>
      <c r="D97" s="16"/>
      <c r="E97" s="2"/>
      <c r="F97" s="2"/>
      <c r="G97" s="16"/>
    </row>
    <row r="98">
      <c r="A98" s="2"/>
      <c r="B98" s="2"/>
      <c r="C98" s="2"/>
      <c r="D98" s="16"/>
      <c r="E98" s="2"/>
      <c r="F98" s="2"/>
      <c r="G98" s="16"/>
    </row>
    <row r="99">
      <c r="A99" s="2"/>
      <c r="B99" s="2"/>
      <c r="C99" s="2"/>
      <c r="D99" s="16"/>
      <c r="E99" s="2"/>
      <c r="F99" s="2"/>
      <c r="G99" s="16"/>
    </row>
    <row r="100">
      <c r="A100" s="2"/>
      <c r="B100" s="2"/>
      <c r="C100" s="2"/>
      <c r="D100" s="16"/>
      <c r="E100" s="2"/>
      <c r="F100" s="2"/>
      <c r="G100" s="16"/>
    </row>
    <row r="101">
      <c r="A101" s="2"/>
      <c r="B101" s="2"/>
      <c r="C101" s="2"/>
      <c r="D101" s="16"/>
      <c r="E101" s="2"/>
      <c r="F101" s="2"/>
      <c r="G101" s="16"/>
    </row>
    <row r="102">
      <c r="A102" s="2"/>
      <c r="B102" s="2"/>
      <c r="C102" s="2"/>
      <c r="D102" s="16"/>
      <c r="E102" s="2"/>
      <c r="F102" s="2"/>
      <c r="G102" s="16"/>
    </row>
    <row r="103">
      <c r="A103" s="2"/>
      <c r="B103" s="2"/>
      <c r="C103" s="2"/>
      <c r="D103" s="16"/>
      <c r="E103" s="2"/>
      <c r="F103" s="2"/>
      <c r="G103" s="16"/>
    </row>
    <row r="104">
      <c r="A104" s="2"/>
      <c r="B104" s="2"/>
      <c r="C104" s="2"/>
      <c r="D104" s="16"/>
      <c r="E104" s="2"/>
      <c r="F104" s="2"/>
      <c r="G104" s="16"/>
    </row>
    <row r="105">
      <c r="A105" s="2"/>
      <c r="B105" s="2"/>
      <c r="C105" s="2"/>
      <c r="D105" s="16"/>
      <c r="E105" s="2"/>
      <c r="F105" s="2"/>
      <c r="G105" s="16"/>
    </row>
    <row r="106">
      <c r="A106" s="2"/>
      <c r="B106" s="2"/>
      <c r="C106" s="2"/>
      <c r="D106" s="16"/>
      <c r="E106" s="2"/>
      <c r="F106" s="2"/>
      <c r="G106" s="16"/>
    </row>
    <row r="107">
      <c r="A107" s="2"/>
      <c r="B107" s="2"/>
      <c r="C107" s="2"/>
      <c r="D107" s="16"/>
      <c r="E107" s="2"/>
      <c r="F107" s="2"/>
      <c r="G107" s="16"/>
    </row>
    <row r="108">
      <c r="A108" s="2"/>
      <c r="B108" s="2"/>
      <c r="C108" s="2"/>
      <c r="D108" s="16"/>
      <c r="E108" s="2"/>
      <c r="F108" s="2"/>
      <c r="G108" s="16"/>
    </row>
    <row r="109">
      <c r="A109" s="2"/>
      <c r="B109" s="2"/>
      <c r="C109" s="2"/>
      <c r="D109" s="16"/>
      <c r="E109" s="2"/>
      <c r="F109" s="2"/>
      <c r="G109" s="16"/>
    </row>
    <row r="110">
      <c r="A110" s="2"/>
      <c r="B110" s="2"/>
      <c r="C110" s="2"/>
      <c r="D110" s="16"/>
      <c r="E110" s="2"/>
      <c r="F110" s="2"/>
      <c r="G110" s="16"/>
    </row>
    <row r="111">
      <c r="A111" s="2"/>
      <c r="B111" s="2"/>
      <c r="C111" s="2"/>
      <c r="D111" s="16"/>
      <c r="E111" s="2"/>
      <c r="F111" s="2"/>
      <c r="G111" s="16"/>
    </row>
    <row r="112">
      <c r="A112" s="2"/>
      <c r="B112" s="2"/>
      <c r="C112" s="2"/>
      <c r="D112" s="16"/>
      <c r="E112" s="2"/>
      <c r="F112" s="2"/>
      <c r="G112" s="16"/>
    </row>
    <row r="113">
      <c r="A113" s="2"/>
      <c r="B113" s="2"/>
      <c r="C113" s="2"/>
      <c r="D113" s="16"/>
      <c r="E113" s="2"/>
      <c r="F113" s="2"/>
      <c r="G113" s="16"/>
    </row>
    <row r="114">
      <c r="A114" s="2"/>
      <c r="B114" s="2"/>
      <c r="C114" s="2"/>
      <c r="D114" s="16"/>
      <c r="E114" s="2"/>
      <c r="F114" s="2"/>
      <c r="G114" s="16"/>
    </row>
    <row r="115">
      <c r="A115" s="2"/>
      <c r="B115" s="2"/>
      <c r="C115" s="2"/>
      <c r="D115" s="16"/>
      <c r="E115" s="2"/>
      <c r="F115" s="2"/>
      <c r="G115" s="16"/>
    </row>
    <row r="116">
      <c r="A116" s="2"/>
      <c r="B116" s="2"/>
      <c r="C116" s="2"/>
      <c r="D116" s="16"/>
      <c r="E116" s="2"/>
      <c r="F116" s="2"/>
      <c r="G116" s="16"/>
    </row>
    <row r="117">
      <c r="A117" s="2"/>
      <c r="B117" s="2"/>
      <c r="C117" s="2"/>
      <c r="D117" s="16"/>
      <c r="E117" s="2"/>
      <c r="F117" s="2"/>
      <c r="G117" s="16"/>
    </row>
    <row r="118">
      <c r="A118" s="2"/>
      <c r="B118" s="2"/>
      <c r="C118" s="2"/>
      <c r="D118" s="16"/>
      <c r="E118" s="2"/>
      <c r="F118" s="2"/>
      <c r="G118" s="16"/>
    </row>
    <row r="119">
      <c r="A119" s="2"/>
      <c r="B119" s="2"/>
      <c r="C119" s="2"/>
      <c r="D119" s="16"/>
      <c r="E119" s="2"/>
      <c r="F119" s="2"/>
      <c r="G119" s="16"/>
    </row>
    <row r="120">
      <c r="A120" s="2"/>
      <c r="B120" s="2"/>
      <c r="C120" s="2"/>
      <c r="D120" s="16"/>
      <c r="E120" s="2"/>
      <c r="F120" s="2"/>
      <c r="G120" s="16"/>
    </row>
    <row r="121">
      <c r="A121" s="2"/>
      <c r="B121" s="2"/>
      <c r="C121" s="2"/>
      <c r="D121" s="16"/>
      <c r="E121" s="2"/>
      <c r="F121" s="2"/>
      <c r="G121" s="16"/>
    </row>
    <row r="122">
      <c r="A122" s="2"/>
      <c r="B122" s="2"/>
      <c r="C122" s="2"/>
      <c r="D122" s="16"/>
      <c r="E122" s="2"/>
      <c r="F122" s="2"/>
      <c r="G122" s="16"/>
    </row>
    <row r="123">
      <c r="A123" s="2"/>
      <c r="B123" s="2"/>
      <c r="C123" s="2"/>
      <c r="D123" s="16"/>
      <c r="E123" s="2"/>
      <c r="F123" s="2"/>
      <c r="G123" s="16"/>
    </row>
    <row r="124">
      <c r="A124" s="2"/>
      <c r="B124" s="2"/>
      <c r="C124" s="2"/>
      <c r="D124" s="16"/>
      <c r="E124" s="2"/>
      <c r="F124" s="2"/>
      <c r="G124" s="16"/>
    </row>
    <row r="125">
      <c r="A125" s="2"/>
      <c r="B125" s="2"/>
      <c r="C125" s="2"/>
      <c r="D125" s="16"/>
      <c r="E125" s="2"/>
      <c r="F125" s="2"/>
      <c r="G125" s="16"/>
    </row>
    <row r="126">
      <c r="A126" s="2"/>
      <c r="B126" s="2"/>
      <c r="C126" s="2"/>
      <c r="D126" s="16"/>
      <c r="E126" s="2"/>
      <c r="F126" s="2"/>
      <c r="G126" s="16"/>
    </row>
    <row r="127">
      <c r="A127" s="2"/>
      <c r="B127" s="2"/>
      <c r="C127" s="2"/>
      <c r="D127" s="16"/>
      <c r="E127" s="2"/>
      <c r="F127" s="2"/>
      <c r="G127" s="16"/>
    </row>
    <row r="128">
      <c r="A128" s="2"/>
      <c r="B128" s="2"/>
      <c r="C128" s="2"/>
      <c r="D128" s="16"/>
      <c r="E128" s="2"/>
      <c r="F128" s="2"/>
      <c r="G128" s="16"/>
    </row>
    <row r="129">
      <c r="A129" s="2"/>
      <c r="B129" s="2"/>
      <c r="C129" s="2"/>
      <c r="D129" s="16"/>
      <c r="E129" s="2"/>
      <c r="F129" s="2"/>
      <c r="G129" s="16"/>
    </row>
    <row r="130">
      <c r="A130" s="2"/>
      <c r="B130" s="2"/>
      <c r="C130" s="2"/>
      <c r="D130" s="16"/>
      <c r="E130" s="2"/>
      <c r="F130" s="2"/>
      <c r="G130" s="16"/>
    </row>
    <row r="131">
      <c r="A131" s="2"/>
      <c r="B131" s="2"/>
      <c r="C131" s="2"/>
      <c r="D131" s="16"/>
      <c r="E131" s="2"/>
      <c r="F131" s="2"/>
      <c r="G131" s="16"/>
    </row>
    <row r="132">
      <c r="A132" s="2"/>
      <c r="B132" s="2"/>
      <c r="C132" s="2"/>
      <c r="D132" s="16"/>
      <c r="E132" s="2"/>
      <c r="F132" s="2"/>
      <c r="G132" s="16"/>
    </row>
    <row r="133">
      <c r="A133" s="2"/>
      <c r="B133" s="2"/>
      <c r="C133" s="2"/>
      <c r="D133" s="16"/>
      <c r="E133" s="2"/>
      <c r="F133" s="2"/>
      <c r="G133" s="16"/>
    </row>
    <row r="134">
      <c r="A134" s="2"/>
      <c r="B134" s="2"/>
      <c r="C134" s="2"/>
      <c r="D134" s="16"/>
      <c r="E134" s="2"/>
      <c r="F134" s="2"/>
      <c r="G134" s="16"/>
    </row>
    <row r="135">
      <c r="A135" s="2"/>
      <c r="B135" s="2"/>
      <c r="C135" s="2"/>
      <c r="D135" s="16"/>
      <c r="E135" s="2"/>
      <c r="F135" s="2"/>
      <c r="G135" s="16"/>
    </row>
    <row r="136">
      <c r="A136" s="2"/>
      <c r="B136" s="2"/>
      <c r="C136" s="2"/>
      <c r="D136" s="16"/>
      <c r="E136" s="2"/>
      <c r="F136" s="2"/>
      <c r="G136" s="16"/>
    </row>
    <row r="137">
      <c r="A137" s="2"/>
      <c r="B137" s="2"/>
      <c r="C137" s="2"/>
      <c r="D137" s="16"/>
      <c r="E137" s="2"/>
      <c r="F137" s="2"/>
      <c r="G137" s="16"/>
    </row>
    <row r="138">
      <c r="A138" s="2"/>
      <c r="B138" s="2"/>
      <c r="C138" s="2"/>
      <c r="D138" s="16"/>
      <c r="E138" s="2"/>
      <c r="F138" s="2"/>
      <c r="G138" s="16"/>
    </row>
    <row r="139">
      <c r="A139" s="2"/>
      <c r="B139" s="2"/>
      <c r="C139" s="2"/>
      <c r="D139" s="16"/>
      <c r="E139" s="2"/>
      <c r="F139" s="2"/>
      <c r="G139" s="16"/>
    </row>
    <row r="140">
      <c r="A140" s="2"/>
      <c r="B140" s="2"/>
      <c r="C140" s="2"/>
      <c r="D140" s="16"/>
      <c r="E140" s="2"/>
      <c r="F140" s="2"/>
      <c r="G140" s="16"/>
    </row>
    <row r="141">
      <c r="A141" s="2"/>
      <c r="B141" s="2"/>
      <c r="C141" s="2"/>
      <c r="D141" s="16"/>
      <c r="E141" s="2"/>
      <c r="F141" s="2"/>
      <c r="G141" s="16"/>
    </row>
    <row r="142">
      <c r="A142" s="2"/>
      <c r="B142" s="2"/>
      <c r="C142" s="2"/>
      <c r="D142" s="16"/>
      <c r="E142" s="2"/>
      <c r="F142" s="2"/>
      <c r="G142" s="16"/>
    </row>
    <row r="143">
      <c r="A143" s="2"/>
      <c r="B143" s="2"/>
      <c r="C143" s="2"/>
      <c r="D143" s="16"/>
      <c r="E143" s="2"/>
      <c r="F143" s="2"/>
      <c r="G143" s="16"/>
    </row>
    <row r="144">
      <c r="A144" s="2"/>
      <c r="B144" s="2"/>
      <c r="C144" s="2"/>
      <c r="D144" s="16"/>
      <c r="E144" s="2"/>
      <c r="F144" s="2"/>
      <c r="G144" s="16"/>
    </row>
    <row r="145">
      <c r="A145" s="2"/>
      <c r="B145" s="2"/>
      <c r="C145" s="2"/>
      <c r="D145" s="16"/>
      <c r="E145" s="2"/>
      <c r="F145" s="2"/>
      <c r="G145" s="16"/>
    </row>
    <row r="146">
      <c r="A146" s="2"/>
      <c r="B146" s="2"/>
      <c r="C146" s="2"/>
      <c r="D146" s="16"/>
      <c r="E146" s="2"/>
      <c r="F146" s="2"/>
      <c r="G146" s="16"/>
    </row>
    <row r="147">
      <c r="A147" s="2"/>
      <c r="B147" s="2"/>
      <c r="C147" s="2"/>
      <c r="D147" s="16"/>
      <c r="E147" s="2"/>
      <c r="F147" s="2"/>
      <c r="G147" s="16"/>
    </row>
    <row r="148">
      <c r="A148" s="2"/>
      <c r="B148" s="2"/>
      <c r="C148" s="2"/>
      <c r="D148" s="16"/>
      <c r="E148" s="2"/>
      <c r="F148" s="2"/>
      <c r="G148" s="16"/>
    </row>
    <row r="149">
      <c r="A149" s="2"/>
      <c r="B149" s="2"/>
      <c r="C149" s="2"/>
      <c r="D149" s="16"/>
      <c r="E149" s="2"/>
      <c r="F149" s="2"/>
      <c r="G149" s="16"/>
    </row>
    <row r="150">
      <c r="A150" s="2"/>
      <c r="B150" s="2"/>
      <c r="C150" s="2"/>
      <c r="D150" s="16"/>
      <c r="E150" s="2"/>
      <c r="F150" s="2"/>
      <c r="G150" s="16"/>
    </row>
    <row r="151">
      <c r="A151" s="2"/>
      <c r="B151" s="2"/>
      <c r="C151" s="2"/>
      <c r="D151" s="16"/>
      <c r="E151" s="2"/>
      <c r="F151" s="2"/>
      <c r="G151" s="16"/>
    </row>
    <row r="152">
      <c r="A152" s="2"/>
      <c r="B152" s="2"/>
      <c r="C152" s="2"/>
      <c r="D152" s="16"/>
      <c r="E152" s="2"/>
      <c r="F152" s="2"/>
      <c r="G152" s="16"/>
    </row>
    <row r="153">
      <c r="A153" s="2"/>
      <c r="B153" s="2"/>
      <c r="C153" s="2"/>
      <c r="D153" s="16"/>
      <c r="E153" s="2"/>
      <c r="F153" s="2"/>
      <c r="G153" s="16"/>
    </row>
    <row r="154">
      <c r="A154" s="2"/>
      <c r="B154" s="2"/>
      <c r="C154" s="2"/>
      <c r="D154" s="16"/>
      <c r="E154" s="2"/>
      <c r="F154" s="2"/>
      <c r="G154" s="16"/>
    </row>
    <row r="155">
      <c r="A155" s="2"/>
      <c r="B155" s="2"/>
      <c r="C155" s="2"/>
      <c r="D155" s="16"/>
      <c r="E155" s="2"/>
      <c r="F155" s="2"/>
      <c r="G155" s="16"/>
    </row>
    <row r="156">
      <c r="A156" s="2"/>
      <c r="B156" s="2"/>
      <c r="C156" s="2"/>
      <c r="D156" s="16"/>
      <c r="E156" s="2"/>
      <c r="F156" s="2"/>
      <c r="G156" s="16"/>
    </row>
    <row r="157">
      <c r="A157" s="2"/>
      <c r="B157" s="2"/>
      <c r="C157" s="2"/>
      <c r="D157" s="16"/>
      <c r="E157" s="2"/>
      <c r="F157" s="2"/>
      <c r="G157" s="16"/>
    </row>
    <row r="158">
      <c r="A158" s="2"/>
      <c r="B158" s="2"/>
      <c r="C158" s="2"/>
      <c r="D158" s="16"/>
      <c r="E158" s="2"/>
      <c r="F158" s="2"/>
      <c r="G158" s="16"/>
    </row>
    <row r="159">
      <c r="A159" s="2"/>
      <c r="B159" s="2"/>
      <c r="C159" s="2"/>
      <c r="D159" s="16"/>
      <c r="E159" s="2"/>
      <c r="F159" s="2"/>
      <c r="G159" s="16"/>
    </row>
    <row r="160">
      <c r="A160" s="2"/>
      <c r="B160" s="2"/>
      <c r="C160" s="2"/>
      <c r="D160" s="16"/>
      <c r="E160" s="2"/>
      <c r="F160" s="2"/>
      <c r="G160" s="16"/>
    </row>
    <row r="161">
      <c r="A161" s="2"/>
      <c r="B161" s="2"/>
      <c r="C161" s="2"/>
      <c r="D161" s="16"/>
      <c r="E161" s="2"/>
      <c r="F161" s="2"/>
      <c r="G161" s="16"/>
    </row>
    <row r="162">
      <c r="A162" s="2"/>
      <c r="B162" s="2"/>
      <c r="C162" s="2"/>
      <c r="D162" s="16"/>
      <c r="E162" s="2"/>
      <c r="F162" s="2"/>
      <c r="G162" s="16"/>
    </row>
    <row r="163">
      <c r="A163" s="2"/>
      <c r="B163" s="2"/>
      <c r="C163" s="2"/>
      <c r="D163" s="16"/>
      <c r="E163" s="2"/>
      <c r="F163" s="2"/>
      <c r="G163" s="16"/>
    </row>
    <row r="164">
      <c r="A164" s="2"/>
      <c r="B164" s="2"/>
      <c r="C164" s="2"/>
      <c r="D164" s="16"/>
      <c r="E164" s="2"/>
      <c r="F164" s="2"/>
      <c r="G164" s="16"/>
    </row>
    <row r="165">
      <c r="A165" s="2"/>
      <c r="B165" s="2"/>
      <c r="C165" s="2"/>
      <c r="D165" s="16"/>
      <c r="E165" s="2"/>
      <c r="F165" s="2"/>
      <c r="G165" s="16"/>
    </row>
    <row r="166">
      <c r="A166" s="2"/>
      <c r="B166" s="2"/>
      <c r="C166" s="2"/>
      <c r="D166" s="16"/>
      <c r="E166" s="2"/>
      <c r="F166" s="2"/>
      <c r="G166" s="16"/>
    </row>
    <row r="167">
      <c r="A167" s="2"/>
      <c r="B167" s="2"/>
      <c r="C167" s="2"/>
      <c r="D167" s="16"/>
      <c r="E167" s="2"/>
      <c r="F167" s="2"/>
      <c r="G167" s="16"/>
    </row>
    <row r="168">
      <c r="A168" s="2"/>
      <c r="B168" s="2"/>
      <c r="C168" s="2"/>
      <c r="D168" s="16"/>
      <c r="E168" s="2"/>
      <c r="F168" s="2"/>
      <c r="G168" s="16"/>
    </row>
    <row r="169">
      <c r="A169" s="2"/>
      <c r="B169" s="2"/>
      <c r="C169" s="2"/>
      <c r="D169" s="16"/>
      <c r="E169" s="2"/>
      <c r="F169" s="2"/>
      <c r="G169" s="16"/>
    </row>
    <row r="170">
      <c r="A170" s="2"/>
      <c r="B170" s="2"/>
      <c r="C170" s="2"/>
      <c r="D170" s="16"/>
      <c r="E170" s="2"/>
      <c r="F170" s="2"/>
      <c r="G170" s="16"/>
    </row>
    <row r="171">
      <c r="A171" s="2"/>
      <c r="B171" s="2"/>
      <c r="C171" s="2"/>
      <c r="D171" s="16"/>
      <c r="E171" s="2"/>
      <c r="F171" s="2"/>
      <c r="G171" s="16"/>
    </row>
    <row r="172">
      <c r="A172" s="2"/>
      <c r="B172" s="2"/>
      <c r="C172" s="2"/>
      <c r="D172" s="16"/>
      <c r="E172" s="2"/>
      <c r="F172" s="2"/>
      <c r="G172" s="16"/>
    </row>
    <row r="173">
      <c r="A173" s="2"/>
      <c r="B173" s="2"/>
      <c r="C173" s="2"/>
      <c r="D173" s="16"/>
      <c r="E173" s="2"/>
      <c r="F173" s="2"/>
      <c r="G173" s="16"/>
    </row>
    <row r="174">
      <c r="A174" s="2"/>
      <c r="B174" s="2"/>
      <c r="C174" s="2"/>
      <c r="D174" s="16"/>
      <c r="E174" s="2"/>
      <c r="F174" s="2"/>
      <c r="G174" s="16"/>
    </row>
    <row r="175">
      <c r="A175" s="2"/>
      <c r="B175" s="2"/>
      <c r="C175" s="2"/>
      <c r="D175" s="16"/>
      <c r="E175" s="2"/>
      <c r="F175" s="2"/>
      <c r="G175" s="16"/>
    </row>
    <row r="176">
      <c r="A176" s="2"/>
      <c r="B176" s="2"/>
      <c r="C176" s="2"/>
      <c r="D176" s="16"/>
      <c r="E176" s="2"/>
      <c r="F176" s="2"/>
      <c r="G176" s="16"/>
    </row>
    <row r="177">
      <c r="A177" s="2"/>
      <c r="B177" s="2"/>
      <c r="C177" s="2"/>
      <c r="D177" s="16"/>
      <c r="E177" s="2"/>
      <c r="F177" s="2"/>
      <c r="G177" s="16"/>
    </row>
    <row r="178">
      <c r="A178" s="2"/>
      <c r="B178" s="2"/>
      <c r="C178" s="2"/>
      <c r="D178" s="16"/>
      <c r="E178" s="2"/>
      <c r="F178" s="2"/>
      <c r="G178" s="16"/>
    </row>
    <row r="179">
      <c r="A179" s="2"/>
      <c r="B179" s="2"/>
      <c r="C179" s="2"/>
      <c r="D179" s="16"/>
      <c r="E179" s="2"/>
      <c r="F179" s="2"/>
      <c r="G179" s="16"/>
    </row>
    <row r="180">
      <c r="A180" s="2"/>
      <c r="B180" s="2"/>
      <c r="C180" s="2"/>
      <c r="D180" s="16"/>
      <c r="E180" s="2"/>
      <c r="F180" s="2"/>
      <c r="G180" s="16"/>
    </row>
    <row r="181">
      <c r="A181" s="2"/>
      <c r="B181" s="2"/>
      <c r="C181" s="2"/>
      <c r="D181" s="16"/>
      <c r="E181" s="2"/>
      <c r="F181" s="2"/>
      <c r="G181" s="16"/>
    </row>
    <row r="182">
      <c r="A182" s="2"/>
      <c r="B182" s="2"/>
      <c r="C182" s="2"/>
      <c r="D182" s="16"/>
      <c r="E182" s="2"/>
      <c r="F182" s="2"/>
      <c r="G182" s="16"/>
    </row>
    <row r="183">
      <c r="A183" s="2"/>
      <c r="B183" s="2"/>
      <c r="C183" s="2"/>
      <c r="D183" s="16"/>
      <c r="E183" s="2"/>
      <c r="F183" s="2"/>
      <c r="G183" s="16"/>
    </row>
    <row r="184">
      <c r="A184" s="2"/>
      <c r="B184" s="2"/>
      <c r="C184" s="2"/>
      <c r="D184" s="16"/>
      <c r="E184" s="2"/>
      <c r="F184" s="2"/>
      <c r="G184" s="16"/>
    </row>
    <row r="185">
      <c r="A185" s="2"/>
      <c r="B185" s="2"/>
      <c r="C185" s="2"/>
      <c r="D185" s="16"/>
      <c r="E185" s="2"/>
      <c r="F185" s="2"/>
      <c r="G185" s="16"/>
    </row>
    <row r="186">
      <c r="A186" s="2"/>
      <c r="B186" s="2"/>
      <c r="C186" s="2"/>
      <c r="D186" s="16"/>
      <c r="E186" s="2"/>
      <c r="F186" s="2"/>
      <c r="G186" s="16"/>
    </row>
    <row r="187">
      <c r="A187" s="2"/>
      <c r="B187" s="2"/>
      <c r="C187" s="2"/>
      <c r="D187" s="16"/>
      <c r="E187" s="2"/>
      <c r="F187" s="2"/>
      <c r="G187" s="16"/>
    </row>
    <row r="188">
      <c r="A188" s="2"/>
      <c r="B188" s="2"/>
      <c r="C188" s="2"/>
      <c r="D188" s="16"/>
      <c r="E188" s="2"/>
      <c r="F188" s="2"/>
      <c r="G188" s="16"/>
    </row>
    <row r="189">
      <c r="A189" s="2"/>
      <c r="B189" s="2"/>
      <c r="C189" s="2"/>
      <c r="D189" s="16"/>
      <c r="E189" s="2"/>
      <c r="F189" s="2"/>
      <c r="G189" s="16"/>
    </row>
    <row r="190">
      <c r="A190" s="2"/>
      <c r="B190" s="2"/>
      <c r="C190" s="2"/>
      <c r="D190" s="16"/>
      <c r="E190" s="2"/>
      <c r="F190" s="2"/>
      <c r="G190" s="16"/>
    </row>
    <row r="191">
      <c r="A191" s="2"/>
      <c r="B191" s="2"/>
      <c r="C191" s="2"/>
      <c r="D191" s="16"/>
      <c r="E191" s="2"/>
      <c r="F191" s="2"/>
      <c r="G191" s="16"/>
    </row>
    <row r="192">
      <c r="A192" s="2"/>
      <c r="B192" s="2"/>
      <c r="C192" s="2"/>
      <c r="D192" s="16"/>
      <c r="E192" s="2"/>
      <c r="F192" s="2"/>
      <c r="G192" s="16"/>
    </row>
    <row r="193">
      <c r="A193" s="2"/>
      <c r="B193" s="2"/>
      <c r="C193" s="2"/>
      <c r="D193" s="16"/>
      <c r="E193" s="2"/>
      <c r="F193" s="2"/>
      <c r="G193" s="16"/>
    </row>
    <row r="194">
      <c r="A194" s="2"/>
      <c r="B194" s="2"/>
      <c r="C194" s="2"/>
      <c r="D194" s="16"/>
      <c r="E194" s="2"/>
      <c r="F194" s="2"/>
      <c r="G194" s="16"/>
    </row>
    <row r="195">
      <c r="A195" s="2"/>
      <c r="B195" s="2"/>
      <c r="C195" s="2"/>
      <c r="D195" s="16"/>
      <c r="E195" s="2"/>
      <c r="F195" s="2"/>
      <c r="G195" s="16"/>
    </row>
    <row r="196">
      <c r="A196" s="2"/>
      <c r="B196" s="2"/>
      <c r="C196" s="2"/>
      <c r="D196" s="16"/>
      <c r="E196" s="2"/>
      <c r="F196" s="2"/>
      <c r="G196" s="16"/>
    </row>
    <row r="197">
      <c r="A197" s="2"/>
      <c r="B197" s="2"/>
      <c r="C197" s="2"/>
      <c r="D197" s="16"/>
      <c r="E197" s="2"/>
      <c r="F197" s="2"/>
      <c r="G197" s="16"/>
    </row>
    <row r="198">
      <c r="A198" s="2"/>
      <c r="B198" s="2"/>
      <c r="C198" s="2"/>
      <c r="D198" s="16"/>
      <c r="E198" s="2"/>
      <c r="F198" s="2"/>
      <c r="G198" s="16"/>
    </row>
    <row r="199">
      <c r="A199" s="2"/>
      <c r="B199" s="2"/>
      <c r="C199" s="2"/>
      <c r="D199" s="16"/>
      <c r="E199" s="2"/>
      <c r="F199" s="2"/>
      <c r="G199" s="16"/>
    </row>
    <row r="200">
      <c r="A200" s="2"/>
      <c r="B200" s="2"/>
      <c r="C200" s="2"/>
      <c r="D200" s="16"/>
      <c r="E200" s="2"/>
      <c r="F200" s="2"/>
      <c r="G200" s="16"/>
    </row>
    <row r="201">
      <c r="A201" s="2"/>
      <c r="B201" s="2"/>
      <c r="C201" s="2"/>
      <c r="D201" s="16"/>
      <c r="E201" s="2"/>
      <c r="F201" s="2"/>
      <c r="G201" s="16"/>
    </row>
    <row r="202">
      <c r="A202" s="2"/>
      <c r="B202" s="2"/>
      <c r="C202" s="2"/>
      <c r="D202" s="16"/>
      <c r="E202" s="2"/>
      <c r="F202" s="2"/>
      <c r="G202" s="16"/>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sheetData>
  <hyperlinks>
    <hyperlink r:id="rId1" ref="H2"/>
    <hyperlink r:id="rId2" ref="H4"/>
    <hyperlink r:id="rId3" ref="H5"/>
    <hyperlink r:id="rId4" ref="H6"/>
    <hyperlink r:id="rId5" ref="H7"/>
    <hyperlink r:id="rId6" ref="H9"/>
    <hyperlink r:id="rId7" ref="H12"/>
    <hyperlink r:id="rId8" ref="H13"/>
    <hyperlink r:id="rId9" ref="H14"/>
    <hyperlink r:id="rId10" ref="H15"/>
    <hyperlink r:id="rId11" ref="H16"/>
    <hyperlink r:id="rId12" ref="H17"/>
    <hyperlink r:id="rId13" ref="H18"/>
    <hyperlink r:id="rId14" ref="H19"/>
    <hyperlink r:id="rId15" ref="H20"/>
    <hyperlink r:id="rId16" ref="H23"/>
    <hyperlink r:id="rId17" ref="H24"/>
    <hyperlink r:id="rId18" ref="H25"/>
    <hyperlink r:id="rId19" ref="H27"/>
    <hyperlink r:id="rId20" ref="H29"/>
    <hyperlink r:id="rId21" ref="H30"/>
    <hyperlink r:id="rId22" ref="H31"/>
    <hyperlink r:id="rId23" ref="H32"/>
    <hyperlink r:id="rId24" ref="H33"/>
    <hyperlink r:id="rId25" ref="H35"/>
    <hyperlink r:id="rId26" ref="H36"/>
    <hyperlink r:id="rId27" ref="H37"/>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5" max="5" width="18.25"/>
  </cols>
  <sheetData>
    <row r="1">
      <c r="A1" s="9" t="s">
        <v>40</v>
      </c>
      <c r="B1" s="9" t="s">
        <v>44</v>
      </c>
      <c r="C1" s="9" t="s">
        <v>47</v>
      </c>
      <c r="D1" s="9" t="s">
        <v>49</v>
      </c>
      <c r="E1" s="9" t="s">
        <v>51</v>
      </c>
      <c r="F1" s="9" t="s">
        <v>55</v>
      </c>
      <c r="H1" s="9" t="s">
        <v>57</v>
      </c>
      <c r="I1" s="9" t="s">
        <v>49</v>
      </c>
    </row>
    <row r="2">
      <c r="A2" s="9">
        <v>1.77424974278E12</v>
      </c>
      <c r="B2" s="11">
        <v>46111.0</v>
      </c>
      <c r="C2" s="9" t="s">
        <v>67</v>
      </c>
      <c r="D2" s="9" t="s">
        <v>69</v>
      </c>
      <c r="E2" s="9" t="s">
        <v>72</v>
      </c>
      <c r="F2" s="13">
        <v>46104.67294884259</v>
      </c>
      <c r="G2" s="14"/>
      <c r="H2" s="9" t="s">
        <v>75</v>
      </c>
      <c r="I2" s="9" t="s">
        <v>76</v>
      </c>
    </row>
    <row r="3">
      <c r="A3" s="9">
        <v>1.774249752369E12</v>
      </c>
      <c r="B3" s="11">
        <v>46112.0</v>
      </c>
      <c r="C3" s="9" t="s">
        <v>78</v>
      </c>
      <c r="D3" s="9" t="s">
        <v>69</v>
      </c>
      <c r="E3" s="9" t="s">
        <v>72</v>
      </c>
      <c r="F3" s="13">
        <v>46104.673059837965</v>
      </c>
      <c r="H3" s="9" t="s">
        <v>83</v>
      </c>
      <c r="I3" s="9" t="s">
        <v>85</v>
      </c>
    </row>
    <row r="4">
      <c r="A4" s="9">
        <v>1.774249760458E12</v>
      </c>
      <c r="B4" s="11">
        <v>46113.0</v>
      </c>
      <c r="C4" s="9" t="s">
        <v>88</v>
      </c>
      <c r="D4" s="9" t="s">
        <v>69</v>
      </c>
      <c r="E4" s="9" t="s">
        <v>72</v>
      </c>
      <c r="F4" s="13">
        <v>46104.673153449075</v>
      </c>
      <c r="G4" s="14"/>
      <c r="H4" s="9" t="s">
        <v>72</v>
      </c>
      <c r="I4" s="9" t="s">
        <v>92</v>
      </c>
    </row>
    <row r="5">
      <c r="A5" s="9">
        <v>1.774249778417E12</v>
      </c>
      <c r="B5" s="11">
        <v>46112.0</v>
      </c>
      <c r="C5" s="9" t="s">
        <v>95</v>
      </c>
      <c r="D5" s="9" t="s">
        <v>69</v>
      </c>
      <c r="E5" s="9" t="s">
        <v>72</v>
      </c>
      <c r="F5" s="13">
        <v>46104.67336130787</v>
      </c>
      <c r="H5" s="9" t="s">
        <v>100</v>
      </c>
      <c r="I5" s="9" t="s">
        <v>102</v>
      </c>
    </row>
    <row r="6">
      <c r="A6" s="9">
        <v>1.774424322059E12</v>
      </c>
      <c r="B6" s="11">
        <v>46113.0</v>
      </c>
      <c r="C6" s="9" t="s">
        <v>104</v>
      </c>
      <c r="D6" s="9" t="s">
        <v>69</v>
      </c>
      <c r="E6" s="9" t="s">
        <v>72</v>
      </c>
      <c r="F6" s="13">
        <v>46106.69354234954</v>
      </c>
    </row>
    <row r="7">
      <c r="A7" s="9" t="s">
        <v>105</v>
      </c>
      <c r="B7" s="11">
        <v>46188.0</v>
      </c>
      <c r="C7" s="9" t="s">
        <v>107</v>
      </c>
      <c r="D7" s="9" t="s">
        <v>69</v>
      </c>
      <c r="E7" s="9" t="s">
        <v>72</v>
      </c>
      <c r="F7" s="13">
        <v>46181.67899210648</v>
      </c>
    </row>
    <row r="8">
      <c r="A8" s="9" t="s">
        <v>111</v>
      </c>
      <c r="B8" s="11">
        <v>46189.0</v>
      </c>
      <c r="C8" s="9" t="s">
        <v>107</v>
      </c>
      <c r="D8" s="9" t="s">
        <v>69</v>
      </c>
      <c r="E8" s="9" t="s">
        <v>72</v>
      </c>
      <c r="F8" s="13">
        <v>46181.67903561343</v>
      </c>
    </row>
    <row r="9">
      <c r="A9" s="9" t="s">
        <v>117</v>
      </c>
      <c r="B9" s="11">
        <v>46190.0</v>
      </c>
      <c r="C9" s="9" t="s">
        <v>107</v>
      </c>
      <c r="D9" s="9" t="s">
        <v>69</v>
      </c>
      <c r="E9" s="9" t="s">
        <v>72</v>
      </c>
      <c r="F9" s="13">
        <v>46181.679063483796</v>
      </c>
    </row>
    <row r="10">
      <c r="A10" s="9" t="s">
        <v>122</v>
      </c>
      <c r="B10" s="11">
        <v>46191.0</v>
      </c>
      <c r="C10" s="9" t="s">
        <v>107</v>
      </c>
      <c r="D10" s="9" t="s">
        <v>69</v>
      </c>
      <c r="E10" s="9" t="s">
        <v>72</v>
      </c>
      <c r="F10" s="13">
        <v>46181.67908101852</v>
      </c>
    </row>
    <row r="11">
      <c r="A11" s="9" t="s">
        <v>128</v>
      </c>
      <c r="B11" s="11">
        <v>46192.0</v>
      </c>
      <c r="C11" s="9" t="s">
        <v>107</v>
      </c>
      <c r="D11" s="9" t="s">
        <v>69</v>
      </c>
      <c r="E11" s="9" t="s">
        <v>72</v>
      </c>
      <c r="F11" s="13">
        <v>46181.67910439815</v>
      </c>
    </row>
    <row r="12">
      <c r="A12" s="9" t="s">
        <v>132</v>
      </c>
      <c r="B12" s="11">
        <v>46209.0</v>
      </c>
      <c r="C12" s="9" t="s">
        <v>107</v>
      </c>
      <c r="D12" s="9" t="s">
        <v>69</v>
      </c>
      <c r="E12" s="9" t="s">
        <v>72</v>
      </c>
      <c r="F12" s="13">
        <v>46202.68480142361</v>
      </c>
    </row>
    <row r="13">
      <c r="A13" s="9" t="s">
        <v>136</v>
      </c>
      <c r="B13" s="11">
        <v>46210.0</v>
      </c>
      <c r="C13" s="9" t="s">
        <v>107</v>
      </c>
      <c r="D13" s="9" t="s">
        <v>69</v>
      </c>
      <c r="E13" s="9" t="s">
        <v>72</v>
      </c>
      <c r="F13" s="13">
        <v>46202.684887766205</v>
      </c>
    </row>
    <row r="14">
      <c r="A14" s="9" t="s">
        <v>142</v>
      </c>
      <c r="B14" s="11">
        <v>46211.0</v>
      </c>
      <c r="C14" s="9" t="s">
        <v>107</v>
      </c>
      <c r="D14" s="9" t="s">
        <v>69</v>
      </c>
      <c r="E14" s="9" t="s">
        <v>72</v>
      </c>
      <c r="F14" s="13">
        <v>46202.68494090278</v>
      </c>
    </row>
    <row r="15">
      <c r="A15" s="9" t="s">
        <v>154</v>
      </c>
      <c r="B15" s="11">
        <v>46212.0</v>
      </c>
      <c r="C15" s="9" t="s">
        <v>107</v>
      </c>
      <c r="D15" s="9" t="s">
        <v>69</v>
      </c>
      <c r="E15" s="9" t="s">
        <v>72</v>
      </c>
      <c r="F15" s="13">
        <v>46202.68509373843</v>
      </c>
    </row>
    <row r="16">
      <c r="A16" s="9" t="s">
        <v>160</v>
      </c>
      <c r="B16" s="11">
        <v>46213.0</v>
      </c>
      <c r="C16" s="9" t="s">
        <v>107</v>
      </c>
      <c r="D16" s="9" t="s">
        <v>69</v>
      </c>
      <c r="E16" s="9" t="s">
        <v>72</v>
      </c>
      <c r="F16" s="13">
        <v>46202.685146979165</v>
      </c>
    </row>
    <row r="17">
      <c r="A17" s="9" t="s">
        <v>163</v>
      </c>
      <c r="B17" s="11">
        <v>46216.0</v>
      </c>
      <c r="C17" s="9" t="s">
        <v>107</v>
      </c>
      <c r="D17" s="9" t="s">
        <v>69</v>
      </c>
      <c r="E17" s="9" t="s">
        <v>72</v>
      </c>
      <c r="F17" s="13">
        <v>46202.68519822917</v>
      </c>
    </row>
    <row r="18">
      <c r="A18" s="9" t="s">
        <v>170</v>
      </c>
      <c r="B18" s="11">
        <v>46217.0</v>
      </c>
      <c r="C18" s="9" t="s">
        <v>107</v>
      </c>
      <c r="D18" s="9" t="s">
        <v>69</v>
      </c>
      <c r="E18" s="9" t="s">
        <v>72</v>
      </c>
      <c r="F18" s="13">
        <v>46202.68524756945</v>
      </c>
    </row>
    <row r="19">
      <c r="A19" s="9" t="s">
        <v>179</v>
      </c>
      <c r="B19" s="11">
        <v>46218.0</v>
      </c>
      <c r="C19" s="9" t="s">
        <v>107</v>
      </c>
      <c r="D19" s="9" t="s">
        <v>69</v>
      </c>
      <c r="E19" s="9" t="s">
        <v>72</v>
      </c>
      <c r="F19" s="13">
        <v>46202.68529730324</v>
      </c>
    </row>
    <row r="20">
      <c r="A20" s="9" t="s">
        <v>186</v>
      </c>
      <c r="B20" s="11">
        <v>46219.0</v>
      </c>
      <c r="C20" s="9" t="s">
        <v>107</v>
      </c>
      <c r="D20" s="9" t="s">
        <v>69</v>
      </c>
      <c r="E20" s="9" t="s">
        <v>72</v>
      </c>
      <c r="F20" s="13">
        <v>46202.68535076389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4.63"/>
    <col customWidth="1" min="3" max="3" width="9.5"/>
    <col customWidth="1" min="4" max="4" width="60.25"/>
    <col customWidth="1" hidden="1" min="5" max="5" width="73.38"/>
  </cols>
  <sheetData>
    <row r="1">
      <c r="C1" s="11"/>
    </row>
    <row r="2">
      <c r="A2" s="12">
        <v>1.0</v>
      </c>
      <c r="B2" s="9" t="b">
        <v>0</v>
      </c>
      <c r="C2" s="11">
        <v>46230.0</v>
      </c>
      <c r="D2" s="9" t="s">
        <v>77</v>
      </c>
      <c r="F2" s="9" t="s">
        <v>80</v>
      </c>
      <c r="G2" s="15" t="str">
        <f>HYPERLINK("https://news.google.com/rss/articles/CBMiX0FVX3lxTE1Bdk02MlZkZjM0Vy1GNUxfSVBaZDBvM1FYRnllQ25MR3dMQ3NNQWhQQml4U0U3QUxTRndMNzN1UFRqMjFaaWRNNnlyNzk2OVpPazRTdXNlTlZNVUVOYVJz?oc=5", "바로가기")</f>
        <v>바로가기</v>
      </c>
    </row>
    <row r="3">
      <c r="A3" s="12">
        <v>2.0</v>
      </c>
      <c r="B3" s="9" t="b">
        <v>0</v>
      </c>
      <c r="C3" s="11">
        <v>46230.0</v>
      </c>
      <c r="D3" s="9" t="s">
        <v>106</v>
      </c>
      <c r="F3" s="9" t="s">
        <v>108</v>
      </c>
      <c r="G3" s="15" t="str">
        <f>HYPERLINK("https://news.google.com/rss/articles/CBMieEFVX3lxTE9ocW9kOTAyYUl2TDdGZ1laQnU4WlhLb2dQSXU2T05rWTdvOTNyT1JmeEstb04tVkdoa2JGTjdJdUxoa1NTR2wyNUt3S2R4NENuWUNseHZTSFNWMXZWMTNwbDY2d2xyOWxIVTJYazVGTjdBV2h4bjdDNw?oc=5", "바로가기")</f>
        <v>바로가기</v>
      </c>
    </row>
    <row r="4">
      <c r="A4" s="12">
        <v>3.0</v>
      </c>
      <c r="B4" s="9" t="b">
        <v>0</v>
      </c>
      <c r="C4" s="11">
        <v>46230.0</v>
      </c>
      <c r="D4" s="9" t="s">
        <v>130</v>
      </c>
      <c r="F4" s="9" t="s">
        <v>131</v>
      </c>
      <c r="G4" s="15" t="str">
        <f>HYPERLINK("https://news.google.com/rss/articles/CBMib0FVX3lxTFBRZWp1QlViTV9FLS1pV0cwT1Z2QmV0RFl2TUtJbHVNSTl1N050REdSenNhVWhXZDZjUFVmVS00aW8zd292NjhLRGRYOEVLSll5TFB1RUZsenQyOGpDWWF4TDdVVktSaHFyNmxOSHdtc9IBc0FVX3lxTFBoNElxc3AwT21yNGZiOGtpOWtoX3NTQmRxTmRnUjQ5OUhYT2pQbj"&amp;"JNN0pZQ3k2Zktadm5ITmIySThwMW1tMXUtOVREXzJFbWltYVpyVjB0TUFIcURBejRRRjAzMmttZjBUNlJSZE9kZm1FTmM?oc=5", "바로가기")</f>
        <v>바로가기</v>
      </c>
    </row>
    <row r="5">
      <c r="A5" s="12">
        <v>4.0</v>
      </c>
      <c r="B5" s="9" t="b">
        <v>0</v>
      </c>
      <c r="C5" s="11">
        <v>46230.0</v>
      </c>
      <c r="D5" s="9" t="s">
        <v>149</v>
      </c>
      <c r="F5" s="9" t="s">
        <v>151</v>
      </c>
      <c r="G5" s="15" t="str">
        <f>HYPERLINK("https://news.google.com/rss/articles/CBMic0FVX3lxTE5VUkRRMjI1cHk5bHdiRkVkZjZuRGxhYk00S3d3S1p5VmwweDZPbnJoVGtycjFwdm9EZzJpeVJNTUU1elZueGctUEhjTkpYWTFNMk1UVWxzVEd5cUd4LVBNcE1iZkxUQlV4VXAzMXA4eTBWYnPSAXdBVV95cUxQaWJFYXI2ZjJTcmQ1bzJiaEZyVGNGV1lmbTF2dFpRZ0tNMT"&amp;"F0VXlHT3FfUkQwRFJQbmEtUXhNZ3JKWnRubG1vXzhQSjdlQ3pRcktxbmlzTHVJalptRC1NbDVXa2RmM2tRLXI2MG1MRzQyaHg0YTNtaw?oc=5", "바로가기")</f>
        <v>바로가기</v>
      </c>
    </row>
    <row r="6">
      <c r="A6" s="12">
        <v>5.0</v>
      </c>
      <c r="B6" s="9" t="b">
        <v>0</v>
      </c>
      <c r="C6" s="11">
        <v>46230.0</v>
      </c>
      <c r="D6" s="9" t="s">
        <v>162</v>
      </c>
      <c r="F6" s="9" t="s">
        <v>164</v>
      </c>
      <c r="G6" s="15" t="str">
        <f>HYPERLINK("https://news.google.com/rss/articles/CBMic0FVX3lxTFBBdWtOUi1ZTWYzVlRZdUk3UXM5WFMzS0Q0dURNc2IzNzhORWZyRWNiNDROWmZCb1lobThqWGxuVG04UW04a2g0cjNzek1YZEhDaU5DVUJOclNlOXA2czNuRlRfQ291ZXBvLWF3eXhTbzFycnM?oc=5", "바로가기")</f>
        <v>바로가기</v>
      </c>
    </row>
    <row r="7">
      <c r="A7" s="12">
        <v>6.0</v>
      </c>
      <c r="B7" s="9" t="b">
        <v>0</v>
      </c>
      <c r="C7" s="11">
        <v>46230.0</v>
      </c>
      <c r="D7" s="9" t="s">
        <v>178</v>
      </c>
      <c r="F7" s="9" t="s">
        <v>180</v>
      </c>
      <c r="G7" s="15" t="str">
        <f>HYPERLINK("https://news.google.com/rss/articles/CBMibkFVX3lxTE1ocEZwNDBqMjNTSnZ5dzhRUS1IWGQzRXdyVFR5ckM1bHZUS2wxWW90TUtEQWhmVXVkZVhsODRHMUhWWWRvSVUtazhTRF85bmx3SGY5WTc4Y3J3d3JPYjdHVkIxYzlfQXRLRGlZR1p3?oc=5", "바로가기")</f>
        <v>바로가기</v>
      </c>
    </row>
    <row r="8">
      <c r="A8" s="12">
        <v>7.0</v>
      </c>
      <c r="B8" s="9" t="b">
        <v>0</v>
      </c>
      <c r="C8" s="11">
        <v>46230.0</v>
      </c>
      <c r="D8" s="9" t="s">
        <v>192</v>
      </c>
      <c r="F8" s="9" t="s">
        <v>194</v>
      </c>
      <c r="G8" s="15" t="str">
        <f>HYPERLINK("https://news.google.com/rss/articles/CBMieEFVX3lxTFA4ZkNrNGZtZFZyM2ZFdlN2cDQ1VlhkczllQkhiWlZwN0ZXbmE5R24xYVVLZm9Vb2sxYWhRLVo1eWZKY1BCRVpBeFJrWUFhb3RYUGJiSXJPaE1TeVVFOFNjUkF5Z0NJYk1CQnROVXVmRVBqODJCMHFYcg?oc=5", "바로가기")</f>
        <v>바로가기</v>
      </c>
    </row>
    <row r="9">
      <c r="A9" s="12">
        <v>8.0</v>
      </c>
      <c r="B9" s="9" t="b">
        <v>0</v>
      </c>
      <c r="C9" s="11">
        <v>46230.0</v>
      </c>
      <c r="D9" s="9" t="s">
        <v>204</v>
      </c>
      <c r="F9" s="9" t="s">
        <v>108</v>
      </c>
      <c r="G9" s="15" t="str">
        <f>HYPERLINK("https://news.google.com/rss/articles/CBMiXEFVX3lxTE1mZGN5Tk1kV0FpTl9jUGpHdWtnM2NvMXltZmJDV1oyWU9oZmJwZG9Eb1pxVFRJSVBIZUdqVDVTalBzQ21pTW44MWVRUXdZa3M5X0dNZkE0ckJGTkdP?oc=5", "바로가기")</f>
        <v>바로가기</v>
      </c>
    </row>
    <row r="10">
      <c r="A10" s="12">
        <v>9.0</v>
      </c>
      <c r="B10" s="9" t="b">
        <v>0</v>
      </c>
      <c r="C10" s="11">
        <v>46230.0</v>
      </c>
      <c r="D10" s="9" t="s">
        <v>213</v>
      </c>
      <c r="F10" s="9" t="s">
        <v>215</v>
      </c>
      <c r="G10" s="15" t="str">
        <f>HYPERLINK("#", "바로가기")</f>
        <v>바로가기</v>
      </c>
    </row>
    <row r="11">
      <c r="A11" s="12">
        <v>10.0</v>
      </c>
      <c r="B11" s="9" t="b">
        <v>0</v>
      </c>
      <c r="C11" s="11">
        <v>46229.0</v>
      </c>
      <c r="D11" s="9" t="s">
        <v>226</v>
      </c>
      <c r="F11" s="9" t="s">
        <v>227</v>
      </c>
      <c r="G11" s="15" t="str">
        <f>HYPERLINK("https://news.google.com/rss/articles/CBMiTEFVX3lxTE9KNDBRSjhqTkhqSUotZzg1cDNMVzZtejN4MFBMQ0RpZzgzWkVzU1lFZlNIZTFVcTg4TzA3LW5KNHcxU0xWbWxyeUxMTTA?oc=5", "바로가기")</f>
        <v>바로가기</v>
      </c>
    </row>
    <row r="12">
      <c r="A12" s="12">
        <v>11.0</v>
      </c>
      <c r="B12" s="9" t="b">
        <v>0</v>
      </c>
      <c r="C12" s="11">
        <v>46229.0</v>
      </c>
      <c r="D12" s="9" t="s">
        <v>234</v>
      </c>
      <c r="F12" s="9" t="s">
        <v>236</v>
      </c>
      <c r="G12" s="15" t="str">
        <f>HYPERLINK("https://news.google.com/rss/articles/CBMibEFVX3lxTFBpWW5ZRUNIaGZTOXFKcFZkOTJsd3E5NGctTTBOQXVDdG53WUtiV2t1cGlFc252RHFuc3hwOGFNZE9kRnR3V1hsSmMzc2ZJUmN5X2lzOUpqMkJ3SGRHTV83SlFmbmgxMGQ5dGwweA?oc=5", "바로가기")</f>
        <v>바로가기</v>
      </c>
    </row>
    <row r="13">
      <c r="A13" s="12">
        <v>12.0</v>
      </c>
      <c r="B13" s="9" t="b">
        <v>0</v>
      </c>
      <c r="C13" s="11">
        <v>46229.0</v>
      </c>
      <c r="D13" s="9" t="s">
        <v>240</v>
      </c>
      <c r="F13" s="9" t="s">
        <v>241</v>
      </c>
      <c r="G13" s="15" t="str">
        <f>HYPERLINK("https://news.google.com/rss/articles/CBMiUkFVX3lxTFBXU3R6NzAxU2lwT0k2NmVJUmtyNFo5QUFwZWtzN19PSjh3dkYtTVdwWlJnWTU0cS1MUk11VDhDb19qSkRfT0luZmRwTUI4eWhJVnc?oc=5", "바로가기")</f>
        <v>바로가기</v>
      </c>
    </row>
    <row r="14">
      <c r="A14" s="12">
        <v>13.0</v>
      </c>
      <c r="B14" s="9" t="b">
        <v>0</v>
      </c>
      <c r="C14" s="11">
        <v>46229.0</v>
      </c>
      <c r="D14" s="9" t="s">
        <v>243</v>
      </c>
      <c r="F14" s="9" t="s">
        <v>244</v>
      </c>
      <c r="G14" s="15" t="str">
        <f>HYPERLINK("https://news.google.com/rss/articles/CBMiZEFVX3lxTE44X21jcnBWeVRBeG04eE9tcFhrUGdjMzhYN21QbGxwMWcyNUxwS2Q3OWFzWkE4d29Nc25Ib0hxeVRybWJNNnpLYUZYX0MtR3ByemtTMDFYUUhlVVNMU2VwM2FpdDA?oc=5", "바로가기")</f>
        <v>바로가기</v>
      </c>
    </row>
    <row r="15">
      <c r="A15" s="12">
        <v>14.0</v>
      </c>
      <c r="B15" s="9" t="b">
        <v>0</v>
      </c>
      <c r="C15" s="11">
        <v>46229.0</v>
      </c>
      <c r="D15" s="9" t="s">
        <v>251</v>
      </c>
      <c r="F15" s="9" t="s">
        <v>252</v>
      </c>
      <c r="G15" s="15" t="str">
        <f>HYPERLINK("https://news.google.com/rss/articles/CBMicEFVX3lxTE05TlhpNzE5NkdaVzhscGJsMElZd09kT2cwVWE0RG1FeUNQSW9ScnJObkpYM1BDM0lCYUwzYjhmS0VtZm9iMTJuZG9uOFFYUGxMbFVKRTJ3ZlM3M09IM3FPMHE2MXcwN2NoNEFQbkw5Ujk?oc=5", "바로가기")</f>
        <v>바로가기</v>
      </c>
    </row>
    <row r="16">
      <c r="A16" s="12">
        <v>15.0</v>
      </c>
      <c r="B16" s="9" t="b">
        <v>0</v>
      </c>
      <c r="C16" s="11">
        <v>46229.0</v>
      </c>
      <c r="D16" s="9" t="s">
        <v>253</v>
      </c>
      <c r="F16" s="9" t="s">
        <v>254</v>
      </c>
      <c r="G16" s="15" t="str">
        <f>HYPERLINK("https://news.google.com/rss/articles/CBMiWkFVX3lxTFBuVU9kMHdtVlh3ejdZVm8xQnptLVR1TU9NTW1TUEZ5Q24xVjJ0WWtyU1otcTBqQlQwVzQ0cVN0eHE5SW9ZLXdyTklTbmFkS1oyMjN3Ymc3ZTdSdw?oc=5", "바로가기")</f>
        <v>바로가기</v>
      </c>
    </row>
    <row r="17">
      <c r="A17" s="12">
        <v>16.0</v>
      </c>
      <c r="B17" s="9" t="b">
        <v>0</v>
      </c>
      <c r="C17" s="11">
        <v>46229.0</v>
      </c>
      <c r="D17" s="9" t="s">
        <v>259</v>
      </c>
      <c r="F17" s="9" t="s">
        <v>260</v>
      </c>
      <c r="G17" s="15" t="str">
        <f>HYPERLINK("https://news.google.com/rss/articles/CBMib0FVX3lxTE5keTFGRkdJQ3JrcVB1OTA2bk5MSTJEYlhnWnNBbDZiLUJ5cTVJbHVfZk9yN2JiNTVPT1p2ZXE3M3VMbmhBMi1CZFhKcnMwR1hDczY3anlnSl9MSWVvRUNlQ1NEQXNTQTlQVHU2ZmxYd9IBc0FVX3lxTFBWNDFMR3pPRGRTUURWWWFHeEVOeFdRX1NmenN3NWx6WVROV0FNTT"&amp;"BWTjdkQU9RSWdNcmF1bTlFcmstX0RiRlRjb01PRzRkUGNhU3lSbHprZkp6c2Nzd0VrS2d6QmRoY2NqMUtsd2Y3bThFUG8?oc=5", "바로가기")</f>
        <v>바로가기</v>
      </c>
    </row>
    <row r="18">
      <c r="A18" s="12">
        <v>17.0</v>
      </c>
      <c r="B18" s="9" t="b">
        <v>0</v>
      </c>
      <c r="C18" s="11">
        <v>46229.0</v>
      </c>
      <c r="D18" s="9" t="s">
        <v>266</v>
      </c>
      <c r="F18" s="9" t="s">
        <v>268</v>
      </c>
      <c r="G18" s="15" t="str">
        <f>HYPERLINK("https://news.google.com/rss/articles/CBMicEFVX3lxTE1rb2MxWDA5ODF1OXJrcG9pWlluRjZId3VqQmgxdWlYWFFaQXVhWEFZekFBLU01X0JtVHg2UXUxYWNORW00bUlxRUhaTDVQc1ZuY19jRENCS3FyTWtBdEt0UFRoSm9oVnlINk1zXzdKVFc?oc=5", "바로가기")</f>
        <v>바로가기</v>
      </c>
    </row>
    <row r="19">
      <c r="A19" s="12">
        <v>18.0</v>
      </c>
      <c r="B19" s="9" t="b">
        <v>0</v>
      </c>
      <c r="C19" s="11">
        <v>46229.0</v>
      </c>
      <c r="D19" s="9" t="s">
        <v>269</v>
      </c>
      <c r="F19" s="9" t="s">
        <v>180</v>
      </c>
      <c r="G19" s="15" t="str">
        <f>HYPERLINK("https://news.google.com/rss/articles/CBMibkFVX3lxTE9YcGYxMEx5ZEFDY05sREp0N0JFWVdEb0JaZm50R3h1WTNUZnRWTml3ZXFmaEJFYTI0SHNFMHdXNUJncG0xLXNNQVMteHgzVW5idlI5X3lhQkJKbUtaM0Z3czJEVlBvcHpxOVFKaFFn?oc=5", "바로가기")</f>
        <v>바로가기</v>
      </c>
    </row>
    <row r="20">
      <c r="A20" s="12">
        <v>19.0</v>
      </c>
      <c r="B20" s="9" t="b">
        <v>0</v>
      </c>
      <c r="C20" s="11">
        <v>46229.0</v>
      </c>
      <c r="D20" s="9" t="s">
        <v>274</v>
      </c>
      <c r="F20" s="9" t="s">
        <v>276</v>
      </c>
      <c r="G20" s="15" t="str">
        <f>HYPERLINK("https://news.google.com/rss/articles/CBMicEFVX3lxTFAxeHdETTljY2M2cXlQOFo3NTJxZGFqaFFReGdpVlRHdVZLUTZUV0lOWlhJbU4zMVVjbzFKU3lvVWtZSXJNdHppQlZDNjZRTDVkSzBtS0R0RWQwdGw1TFZhTmQ3eDZaUFY4aU1HYnY5bGE?oc=5", "바로가기")</f>
        <v>바로가기</v>
      </c>
    </row>
    <row r="21">
      <c r="A21" s="12">
        <v>20.0</v>
      </c>
      <c r="B21" s="9" t="b">
        <v>0</v>
      </c>
      <c r="C21" s="11">
        <v>46229.0</v>
      </c>
      <c r="D21" s="9" t="s">
        <v>282</v>
      </c>
      <c r="F21" s="8" t="s">
        <v>284</v>
      </c>
      <c r="G21" s="15" t="str">
        <f>HYPERLINK("https://news.google.com/rss/articles/CBMiT0FVX3lxTE40MkdUWnJXUDAxTnl3Y0RlX3otSUMtLXZhMDlibDFJZUhtUkZJUjFBTWtHYm05NTJnQ1RianFzaHZZREM0MnFGejRLWXdrMlU?oc=5", "바로가기")</f>
        <v>바로가기</v>
      </c>
    </row>
    <row r="22">
      <c r="A22" s="12">
        <v>21.0</v>
      </c>
      <c r="B22" s="9" t="b">
        <v>0</v>
      </c>
      <c r="C22" s="11">
        <v>46229.0</v>
      </c>
      <c r="D22" s="9" t="s">
        <v>294</v>
      </c>
      <c r="F22" s="9" t="s">
        <v>295</v>
      </c>
      <c r="G22" s="15" t="str">
        <f>HYPERLINK("https://news.google.com/rss/articles/CBMiWEFVX3lxTE5KekZfRl9BeFUtWV9PZ080U1h3ckZfY1VwbVM5SWhsWmhKOE5FWGswNUlwZ2dLRzJzQk1LZXhRWFlBVVY2RV9odllfYzE1TXk4aEw2MDc5dFo?oc=5", "바로가기")</f>
        <v>바로가기</v>
      </c>
    </row>
    <row r="23">
      <c r="A23" s="12">
        <v>22.0</v>
      </c>
      <c r="B23" s="9" t="b">
        <v>0</v>
      </c>
      <c r="C23" s="11">
        <v>46228.0</v>
      </c>
      <c r="D23" s="9" t="s">
        <v>298</v>
      </c>
      <c r="F23" s="8" t="s">
        <v>299</v>
      </c>
      <c r="G23" s="15" t="str">
        <f>HYPERLINK("https://news.google.com/rss/articles/CBMib0FVX3lxTFBoTVdTcmlPTzBZdUlZZFZicV9uWDl1OE9hWnFBd3l3RDhnZER2b0k5X1dicGh5dzNzMVZiR1YzaTVWYU80cUY2aVZIc1JLaTFiZjlPaHdBaE9obGZGQUNqcGNVV3p5UmV4dzNaalRTOA?oc=5", "바로가기")</f>
        <v>바로가기</v>
      </c>
    </row>
    <row r="24">
      <c r="A24" s="12">
        <v>23.0</v>
      </c>
      <c r="B24" s="9" t="b">
        <v>0</v>
      </c>
      <c r="C24" s="11">
        <v>46228.0</v>
      </c>
      <c r="D24" s="9" t="s">
        <v>311</v>
      </c>
      <c r="F24" s="9" t="s">
        <v>312</v>
      </c>
      <c r="G24" s="15" t="str">
        <f>HYPERLINK("https://news.google.com/rss/articles/CBMic0FVX3lxTE02WlhYXzQzNGZLRkYzNm9IX042UFVDbXNFcVJHdklkQk1NT0VKQ1dCbC1MZ1FLS1ZYZXNNZVBQQThNYWN1RnlFY0FXZUNZMHdwUmNHcXEyRHNDeHhfcFF0NWhZMDVOR2cxbkktWjdCamhLc3M?oc=5", "바로가기")</f>
        <v>바로가기</v>
      </c>
    </row>
    <row r="25">
      <c r="A25" s="12">
        <v>24.0</v>
      </c>
      <c r="B25" s="9" t="b">
        <v>0</v>
      </c>
      <c r="C25" s="11">
        <v>46227.0</v>
      </c>
      <c r="D25" s="9" t="s">
        <v>323</v>
      </c>
      <c r="F25" s="9" t="s">
        <v>324</v>
      </c>
      <c r="G25" s="15" t="str">
        <f>HYPERLINK("https://news.google.com/rss/articles/CBMiZ0FVX3lxTFBGOGRCNHNHWjNVLWV3a3l6RTg5TTZSbFJnMjBJeDloSy1yS2U0ZzBDb3FhYWN2SVlGVEdwRXJOS0FDNERKYmo1OHQ5ZkRxZEdRVjJYTHMyRmJWUjZ5TTN4cWN5Sk9QSGc?oc=5", "바로가기")</f>
        <v>바로가기</v>
      </c>
    </row>
    <row r="26">
      <c r="A26" s="12">
        <v>25.0</v>
      </c>
      <c r="B26" s="9" t="b">
        <v>0</v>
      </c>
      <c r="C26" s="11">
        <v>46226.0</v>
      </c>
      <c r="D26" s="17" t="s">
        <v>340</v>
      </c>
      <c r="F26" s="9" t="s">
        <v>343</v>
      </c>
      <c r="G26" s="15" t="str">
        <f>HYPERLINK("https://news.google.com/rss/articles/CBMiYEFVX3lxTFB4UkZJMUI3X0h1U0h2WGYtUm44amlVN3p3ZTM4WGFqOVJHTmhldjlEUUhlaEtKelpuQ0JWYVUyUG9vTFp4d0Ztb2JBV2xjTGZHaElVNU92VXYydTMtVTJjbtIBYEFVX3lxTFB4UkZJMUI3X0h1U0h2WGYtUm44amlVN3p3ZTM4WGFqOVJHTmhldjlEUUhlaEtKelpuQ0JWYV"&amp;"UyUG9vTFp4d0Ztb2JBV2xjTGZHaElVNU92VXYydTMtVTJjbg?oc=5", "바로가기")</f>
        <v>바로가기</v>
      </c>
    </row>
    <row r="27">
      <c r="A27" s="12">
        <v>26.0</v>
      </c>
      <c r="B27" s="9" t="b">
        <v>0</v>
      </c>
      <c r="C27" s="11">
        <v>46226.0</v>
      </c>
      <c r="D27" s="9" t="s">
        <v>358</v>
      </c>
      <c r="F27" s="9" t="s">
        <v>360</v>
      </c>
      <c r="G27" s="15" t="str">
        <f>HYPERLINK("https://news.google.com/rss/articles/CBMiTEFVX3lxTE15ci0tQzRjRE9wQUtwSHB1eGF5ODM5M1lkMXd2dXhLbjBRS3dsQXVCai1qWjZzTmxrZDIwa0lWLVlSN0lKSzZGMnlXUVQ?oc=5", "바로가기")</f>
        <v>바로가기</v>
      </c>
    </row>
    <row r="28">
      <c r="A28" s="12">
        <v>27.0</v>
      </c>
      <c r="B28" s="9" t="b">
        <v>0</v>
      </c>
      <c r="C28" s="11">
        <v>46226.0</v>
      </c>
      <c r="D28" s="9" t="s">
        <v>374</v>
      </c>
      <c r="F28" s="9" t="s">
        <v>376</v>
      </c>
      <c r="G28" s="15" t="str">
        <f>HYPERLINK("https://news.google.com/rss/articles/CBMickFVX3lxTE0tOFRxUGJyNjR5Z2ZmU0VTSVlGTlVhUW1xa01GNGRsd1NUa0tSbkNqbTFTS3lVeHBPMjdhYkpiYVVpS1ViS0Q5aTQtTlkyTlFiWFJfaldVSlFWRXdLTnB0ZExPT0dvX2liY05qRmxTRTFpZw?oc=5", "바로가기")</f>
        <v>바로가기</v>
      </c>
    </row>
    <row r="29">
      <c r="A29" s="12">
        <v>28.0</v>
      </c>
      <c r="B29" s="9" t="b">
        <v>0</v>
      </c>
      <c r="C29" s="11">
        <v>46226.0</v>
      </c>
      <c r="D29" s="9" t="s">
        <v>385</v>
      </c>
      <c r="F29" s="9" t="s">
        <v>387</v>
      </c>
      <c r="G29" s="15" t="str">
        <f>HYPERLINK("https://news.google.com/rss/articles/CBMiYEFVX3lxTE40LTN0T0Q2QzM2NmJ5elJYWDJlb3hGV2ttMmsydXZyQmVyWG1nLWlENGpzMXZJNTFfSGw3aVVlQnVsT3JSdDV4NlNIQlVFb1dZQnBuOWZnUnZxcFo0SUR6Zw?oc=5", "바로가기")</f>
        <v>바로가기</v>
      </c>
    </row>
    <row r="30">
      <c r="A30" s="12">
        <v>29.0</v>
      </c>
      <c r="B30" s="9" t="b">
        <v>0</v>
      </c>
      <c r="C30" s="11">
        <v>46225.0</v>
      </c>
      <c r="D30" s="9" t="s">
        <v>401</v>
      </c>
      <c r="F30" s="9" t="s">
        <v>402</v>
      </c>
      <c r="G30" s="15" t="str">
        <f>HYPERLINK("https://news.google.com/rss/articles/CBMiZ0FVX3lxTE1PdWJ2al9iMFhYZjhHenl5WWxOS1JGZzV4cjZsY2EwSm43d3ZhQ2RadmZvQURTeVhTOWNyUGkwSC1KUVhGQjNmWVd5R3AtRVRjSkp2elFodWxSNi1nbzRvVHI4V2U2X3c?oc=5", "바로가기")</f>
        <v>바로가기</v>
      </c>
    </row>
    <row r="31">
      <c r="A31" s="12"/>
      <c r="B31" s="9"/>
      <c r="C31" s="11"/>
      <c r="D31" s="9"/>
      <c r="F31" s="9"/>
    </row>
    <row r="32">
      <c r="A32" s="12"/>
      <c r="B32" s="9"/>
      <c r="C32" s="11"/>
      <c r="D32" s="9"/>
      <c r="F32" s="9"/>
    </row>
    <row r="33">
      <c r="A33" s="12"/>
      <c r="B33" s="9"/>
      <c r="C33" s="11"/>
      <c r="D33" s="9"/>
      <c r="F33" s="9"/>
    </row>
    <row r="34">
      <c r="A34" s="12"/>
      <c r="B34" s="9"/>
      <c r="C34" s="11"/>
      <c r="D34" s="9"/>
      <c r="F34" s="9"/>
    </row>
    <row r="35">
      <c r="A35" s="12"/>
      <c r="B35" s="9"/>
      <c r="C35" s="11"/>
      <c r="D35" s="9"/>
      <c r="F35" s="9"/>
    </row>
    <row r="36">
      <c r="A36" s="12"/>
      <c r="B36" s="9"/>
      <c r="C36" s="11"/>
      <c r="D36" s="9"/>
      <c r="F36" s="9"/>
    </row>
    <row r="37">
      <c r="A37" s="12"/>
      <c r="B37" s="9"/>
      <c r="C37" s="11"/>
      <c r="D37" s="9"/>
      <c r="F37" s="9"/>
    </row>
    <row r="38">
      <c r="A38" s="12"/>
      <c r="B38" s="9"/>
      <c r="C38" s="11"/>
      <c r="D38" s="9"/>
      <c r="F38" s="9"/>
    </row>
    <row r="39">
      <c r="A39" s="12"/>
      <c r="B39" s="9"/>
      <c r="C39" s="11"/>
      <c r="D39" s="9"/>
      <c r="F39" s="9"/>
    </row>
    <row r="40">
      <c r="A40" s="12"/>
      <c r="B40" s="9"/>
      <c r="C40" s="11"/>
      <c r="D40" s="9"/>
      <c r="F40" s="9"/>
    </row>
  </sheetData>
  <hyperlinks>
    <hyperlink r:id="rId1" ref="F21"/>
    <hyperlink r:id="rId2" ref="F2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75"/>
    <col customWidth="1" min="3" max="3" width="126.0"/>
    <col customWidth="1" min="4" max="4" width="50.75"/>
  </cols>
  <sheetData>
    <row r="1">
      <c r="A1" s="9" t="s">
        <v>288</v>
      </c>
      <c r="B1" s="9" t="s">
        <v>289</v>
      </c>
      <c r="C1" s="9" t="s">
        <v>290</v>
      </c>
      <c r="D1" s="9" t="s">
        <v>291</v>
      </c>
      <c r="E1" s="8" t="s">
        <v>292</v>
      </c>
    </row>
    <row r="2">
      <c r="A2" s="9" t="s">
        <v>301</v>
      </c>
      <c r="B2" s="9" t="s">
        <v>303</v>
      </c>
      <c r="C2" s="9" t="s">
        <v>304</v>
      </c>
      <c r="D2" s="9" t="s">
        <v>305</v>
      </c>
      <c r="E2" s="8" t="s">
        <v>292</v>
      </c>
    </row>
    <row r="3">
      <c r="A3" s="9" t="s">
        <v>307</v>
      </c>
      <c r="B3" s="9" t="s">
        <v>308</v>
      </c>
      <c r="C3" s="9" t="s">
        <v>309</v>
      </c>
      <c r="D3" s="9" t="s">
        <v>310</v>
      </c>
      <c r="E3" s="8" t="s">
        <v>292</v>
      </c>
    </row>
    <row r="4">
      <c r="A4" s="9" t="s">
        <v>313</v>
      </c>
      <c r="B4" s="9" t="s">
        <v>314</v>
      </c>
      <c r="C4" s="9" t="s">
        <v>315</v>
      </c>
      <c r="D4" s="9" t="s">
        <v>316</v>
      </c>
      <c r="E4" s="8" t="s">
        <v>292</v>
      </c>
    </row>
    <row r="5">
      <c r="A5" s="9" t="s">
        <v>321</v>
      </c>
      <c r="B5" s="9" t="s">
        <v>322</v>
      </c>
      <c r="C5" s="9" t="s">
        <v>325</v>
      </c>
      <c r="D5" s="9" t="s">
        <v>327</v>
      </c>
      <c r="E5" s="8" t="s">
        <v>292</v>
      </c>
    </row>
    <row r="6">
      <c r="A6" s="9" t="s">
        <v>330</v>
      </c>
      <c r="B6" s="9" t="s">
        <v>332</v>
      </c>
      <c r="C6" s="9" t="s">
        <v>334</v>
      </c>
      <c r="D6" s="9" t="s">
        <v>335</v>
      </c>
      <c r="E6" s="8" t="s">
        <v>292</v>
      </c>
    </row>
    <row r="7">
      <c r="A7" s="9" t="s">
        <v>338</v>
      </c>
      <c r="B7" s="9" t="s">
        <v>339</v>
      </c>
      <c r="C7" s="9" t="s">
        <v>341</v>
      </c>
      <c r="D7" s="9" t="s">
        <v>342</v>
      </c>
      <c r="E7" s="8" t="s">
        <v>292</v>
      </c>
    </row>
    <row r="8">
      <c r="A8" s="9" t="s">
        <v>344</v>
      </c>
      <c r="B8" s="9" t="s">
        <v>349</v>
      </c>
      <c r="C8" s="9" t="s">
        <v>350</v>
      </c>
      <c r="D8" s="9" t="s">
        <v>351</v>
      </c>
      <c r="E8" s="8" t="s">
        <v>292</v>
      </c>
    </row>
    <row r="9">
      <c r="A9" s="9" t="s">
        <v>355</v>
      </c>
      <c r="B9" s="9" t="s">
        <v>357</v>
      </c>
      <c r="C9" s="9" t="s">
        <v>359</v>
      </c>
      <c r="D9" s="9" t="s">
        <v>361</v>
      </c>
      <c r="E9" s="8" t="s">
        <v>292</v>
      </c>
    </row>
    <row r="10">
      <c r="A10" s="9" t="s">
        <v>362</v>
      </c>
      <c r="B10" s="9" t="s">
        <v>364</v>
      </c>
      <c r="C10" s="9" t="s">
        <v>367</v>
      </c>
      <c r="D10" s="9" t="s">
        <v>369</v>
      </c>
      <c r="E10" s="8" t="s">
        <v>292</v>
      </c>
    </row>
    <row r="11">
      <c r="A11" s="9" t="s">
        <v>372</v>
      </c>
      <c r="B11" s="9" t="s">
        <v>375</v>
      </c>
      <c r="C11" s="9" t="s">
        <v>377</v>
      </c>
      <c r="D11" s="9" t="s">
        <v>378</v>
      </c>
      <c r="E11" s="8" t="s">
        <v>292</v>
      </c>
    </row>
    <row r="12">
      <c r="A12" s="9" t="s">
        <v>379</v>
      </c>
      <c r="B12" s="9" t="s">
        <v>380</v>
      </c>
      <c r="C12" s="9" t="s">
        <v>381</v>
      </c>
      <c r="D12" s="9" t="s">
        <v>383</v>
      </c>
      <c r="E12" s="8" t="s">
        <v>292</v>
      </c>
    </row>
    <row r="13">
      <c r="A13" s="9" t="s">
        <v>389</v>
      </c>
      <c r="B13" s="9" t="s">
        <v>390</v>
      </c>
      <c r="C13" s="9" t="s">
        <v>392</v>
      </c>
      <c r="D13" s="9" t="s">
        <v>393</v>
      </c>
      <c r="E13" s="8" t="s">
        <v>292</v>
      </c>
    </row>
    <row r="14">
      <c r="A14" s="9" t="s">
        <v>395</v>
      </c>
      <c r="B14" s="9" t="s">
        <v>396</v>
      </c>
      <c r="C14" s="9" t="s">
        <v>397</v>
      </c>
      <c r="D14" s="9" t="s">
        <v>398</v>
      </c>
      <c r="E14" s="8" t="s">
        <v>292</v>
      </c>
    </row>
    <row r="15">
      <c r="A15" s="9" t="s">
        <v>399</v>
      </c>
      <c r="B15" s="9" t="s">
        <v>400</v>
      </c>
      <c r="C15" s="9" t="s">
        <v>403</v>
      </c>
      <c r="D15" s="9" t="s">
        <v>404</v>
      </c>
      <c r="E15" s="8" t="s">
        <v>292</v>
      </c>
    </row>
    <row r="16">
      <c r="A16" s="9" t="s">
        <v>407</v>
      </c>
      <c r="B16" s="9" t="s">
        <v>409</v>
      </c>
      <c r="C16" s="9" t="s">
        <v>410</v>
      </c>
      <c r="D16" s="9" t="s">
        <v>412</v>
      </c>
      <c r="E16" s="8" t="s">
        <v>292</v>
      </c>
    </row>
    <row r="17">
      <c r="A17" s="9" t="s">
        <v>414</v>
      </c>
      <c r="B17" s="9" t="s">
        <v>415</v>
      </c>
      <c r="C17" s="9" t="s">
        <v>417</v>
      </c>
      <c r="D17" s="9" t="s">
        <v>418</v>
      </c>
      <c r="E17" s="8" t="s">
        <v>292</v>
      </c>
    </row>
    <row r="18">
      <c r="A18" s="9" t="s">
        <v>420</v>
      </c>
      <c r="B18" s="9" t="s">
        <v>421</v>
      </c>
      <c r="C18" s="9" t="s">
        <v>422</v>
      </c>
      <c r="D18" s="9" t="s">
        <v>423</v>
      </c>
      <c r="E18" s="8" t="s">
        <v>292</v>
      </c>
    </row>
    <row r="19">
      <c r="A19" s="9" t="s">
        <v>424</v>
      </c>
      <c r="B19" s="9" t="s">
        <v>425</v>
      </c>
      <c r="C19" s="9" t="s">
        <v>426</v>
      </c>
      <c r="D19" s="9" t="s">
        <v>427</v>
      </c>
      <c r="E19" s="8" t="s">
        <v>292</v>
      </c>
    </row>
    <row r="20">
      <c r="A20" s="9" t="s">
        <v>428</v>
      </c>
      <c r="B20" s="9" t="s">
        <v>429</v>
      </c>
      <c r="C20" s="9" t="s">
        <v>430</v>
      </c>
      <c r="D20" s="9" t="s">
        <v>431</v>
      </c>
      <c r="E20" s="8" t="s">
        <v>292</v>
      </c>
    </row>
    <row r="21">
      <c r="A21" s="9" t="s">
        <v>434</v>
      </c>
      <c r="B21" s="9" t="s">
        <v>436</v>
      </c>
      <c r="C21" s="9" t="s">
        <v>437</v>
      </c>
      <c r="D21" s="9" t="s">
        <v>438</v>
      </c>
      <c r="E21" s="8" t="s">
        <v>292</v>
      </c>
    </row>
    <row r="22">
      <c r="A22" s="9" t="s">
        <v>440</v>
      </c>
      <c r="B22" s="9" t="s">
        <v>442</v>
      </c>
      <c r="C22" s="9" t="s">
        <v>443</v>
      </c>
      <c r="D22" s="9" t="s">
        <v>444</v>
      </c>
      <c r="E22" s="8" t="s">
        <v>292</v>
      </c>
    </row>
    <row r="23">
      <c r="A23" s="9" t="s">
        <v>446</v>
      </c>
      <c r="B23" s="9" t="s">
        <v>447</v>
      </c>
      <c r="C23" s="9" t="s">
        <v>449</v>
      </c>
      <c r="D23" s="9" t="s">
        <v>450</v>
      </c>
      <c r="E23" s="8" t="s">
        <v>292</v>
      </c>
    </row>
    <row r="24">
      <c r="A24" s="9" t="s">
        <v>451</v>
      </c>
      <c r="B24" s="9" t="s">
        <v>452</v>
      </c>
      <c r="C24" s="9" t="s">
        <v>453</v>
      </c>
      <c r="D24" s="9" t="s">
        <v>454</v>
      </c>
      <c r="E24" s="8" t="s">
        <v>292</v>
      </c>
    </row>
    <row r="25">
      <c r="A25" s="9" t="s">
        <v>455</v>
      </c>
      <c r="B25" s="9" t="s">
        <v>456</v>
      </c>
      <c r="C25" s="9" t="s">
        <v>457</v>
      </c>
      <c r="D25" s="9" t="s">
        <v>458</v>
      </c>
      <c r="E25" s="8" t="s">
        <v>292</v>
      </c>
    </row>
    <row r="26">
      <c r="A26" s="9" t="s">
        <v>460</v>
      </c>
      <c r="B26" s="9" t="s">
        <v>462</v>
      </c>
      <c r="C26" s="9" t="s">
        <v>464</v>
      </c>
      <c r="D26" s="9" t="s">
        <v>465</v>
      </c>
      <c r="E26" s="8" t="s">
        <v>292</v>
      </c>
    </row>
    <row r="27">
      <c r="A27" s="9" t="s">
        <v>466</v>
      </c>
      <c r="B27" s="9" t="s">
        <v>467</v>
      </c>
      <c r="C27" s="9" t="s">
        <v>468</v>
      </c>
      <c r="D27" s="9" t="s">
        <v>470</v>
      </c>
      <c r="E27" s="8" t="s">
        <v>292</v>
      </c>
    </row>
    <row r="28">
      <c r="A28" s="9" t="s">
        <v>471</v>
      </c>
      <c r="B28" s="9" t="s">
        <v>472</v>
      </c>
      <c r="C28" s="9" t="s">
        <v>473</v>
      </c>
      <c r="D28" s="9" t="s">
        <v>474</v>
      </c>
      <c r="E28" s="8" t="s">
        <v>292</v>
      </c>
    </row>
    <row r="29">
      <c r="A29" s="9" t="s">
        <v>475</v>
      </c>
      <c r="B29" s="9" t="s">
        <v>477</v>
      </c>
      <c r="C29" s="9" t="s">
        <v>479</v>
      </c>
      <c r="D29" s="9" t="s">
        <v>480</v>
      </c>
      <c r="E29" s="8" t="s">
        <v>292</v>
      </c>
    </row>
    <row r="30">
      <c r="A30" s="9" t="s">
        <v>482</v>
      </c>
      <c r="B30" s="9" t="s">
        <v>483</v>
      </c>
      <c r="C30" s="9" t="s">
        <v>485</v>
      </c>
      <c r="D30" s="9" t="s">
        <v>486</v>
      </c>
      <c r="E30" s="8" t="s">
        <v>292</v>
      </c>
    </row>
    <row r="31">
      <c r="A31" s="9" t="s">
        <v>487</v>
      </c>
      <c r="B31" s="9" t="s">
        <v>488</v>
      </c>
      <c r="C31" s="9" t="s">
        <v>489</v>
      </c>
      <c r="D31" s="9" t="s">
        <v>490</v>
      </c>
      <c r="E31" s="8" t="s">
        <v>292</v>
      </c>
    </row>
    <row r="32">
      <c r="A32" s="9" t="s">
        <v>491</v>
      </c>
      <c r="B32" s="9" t="s">
        <v>492</v>
      </c>
      <c r="C32" s="9" t="s">
        <v>493</v>
      </c>
      <c r="D32" s="9" t="s">
        <v>495</v>
      </c>
      <c r="E32" s="8" t="s">
        <v>292</v>
      </c>
    </row>
    <row r="33">
      <c r="A33" s="9" t="s">
        <v>498</v>
      </c>
      <c r="B33" s="9" t="s">
        <v>499</v>
      </c>
      <c r="C33" s="9" t="s">
        <v>501</v>
      </c>
      <c r="D33" s="9" t="s">
        <v>502</v>
      </c>
      <c r="E33" s="8" t="s">
        <v>292</v>
      </c>
    </row>
    <row r="34">
      <c r="A34" s="9" t="s">
        <v>503</v>
      </c>
      <c r="B34" s="9" t="s">
        <v>504</v>
      </c>
      <c r="C34" s="9" t="s">
        <v>506</v>
      </c>
      <c r="D34" s="9" t="s">
        <v>507</v>
      </c>
      <c r="E34" s="8" t="s">
        <v>292</v>
      </c>
    </row>
    <row r="35">
      <c r="A35" s="9" t="s">
        <v>509</v>
      </c>
      <c r="B35" s="9" t="s">
        <v>510</v>
      </c>
      <c r="C35" s="9" t="s">
        <v>511</v>
      </c>
      <c r="D35" s="9" t="s">
        <v>512</v>
      </c>
      <c r="E35" s="8" t="s">
        <v>292</v>
      </c>
    </row>
    <row r="36">
      <c r="A36" s="9" t="s">
        <v>513</v>
      </c>
      <c r="B36" s="9" t="s">
        <v>514</v>
      </c>
      <c r="C36" s="9" t="s">
        <v>515</v>
      </c>
      <c r="D36" s="9" t="s">
        <v>516</v>
      </c>
      <c r="E36" s="8" t="s">
        <v>292</v>
      </c>
    </row>
    <row r="37">
      <c r="A37" s="9" t="s">
        <v>526</v>
      </c>
      <c r="B37" s="9" t="s">
        <v>527</v>
      </c>
      <c r="C37" s="9" t="s">
        <v>528</v>
      </c>
      <c r="D37" s="9" t="s">
        <v>529</v>
      </c>
      <c r="E37" s="8" t="s">
        <v>292</v>
      </c>
    </row>
    <row r="38">
      <c r="A38" s="9" t="s">
        <v>534</v>
      </c>
      <c r="B38" s="9" t="s">
        <v>536</v>
      </c>
      <c r="C38" s="9" t="s">
        <v>537</v>
      </c>
      <c r="D38" s="9" t="s">
        <v>538</v>
      </c>
      <c r="E38" s="8" t="s">
        <v>292</v>
      </c>
    </row>
    <row r="39">
      <c r="A39" s="9" t="s">
        <v>540</v>
      </c>
      <c r="B39" s="9" t="s">
        <v>542</v>
      </c>
      <c r="C39" s="9" t="s">
        <v>543</v>
      </c>
      <c r="D39" s="9" t="s">
        <v>545</v>
      </c>
      <c r="E39" s="8" t="s">
        <v>292</v>
      </c>
    </row>
    <row r="40">
      <c r="A40" s="9" t="s">
        <v>546</v>
      </c>
      <c r="B40" s="9" t="s">
        <v>547</v>
      </c>
      <c r="C40" s="9" t="s">
        <v>548</v>
      </c>
      <c r="D40" s="9" t="s">
        <v>549</v>
      </c>
      <c r="E40" s="8" t="s">
        <v>292</v>
      </c>
    </row>
    <row r="41">
      <c r="A41" s="9" t="s">
        <v>551</v>
      </c>
      <c r="B41" s="9" t="s">
        <v>553</v>
      </c>
      <c r="C41" s="9" t="s">
        <v>554</v>
      </c>
      <c r="D41" s="9" t="s">
        <v>555</v>
      </c>
      <c r="E41" s="8" t="s">
        <v>292</v>
      </c>
    </row>
    <row r="42">
      <c r="A42" s="9" t="s">
        <v>557</v>
      </c>
      <c r="B42" s="9" t="s">
        <v>558</v>
      </c>
      <c r="C42" s="9" t="s">
        <v>559</v>
      </c>
      <c r="D42" s="9" t="s">
        <v>560</v>
      </c>
      <c r="E42" s="8" t="s">
        <v>292</v>
      </c>
    </row>
    <row r="43">
      <c r="A43" s="9" t="s">
        <v>562</v>
      </c>
      <c r="B43" s="9" t="s">
        <v>564</v>
      </c>
      <c r="C43" s="9" t="s">
        <v>565</v>
      </c>
      <c r="D43" s="9" t="s">
        <v>567</v>
      </c>
      <c r="E43" s="8" t="s">
        <v>292</v>
      </c>
    </row>
    <row r="44">
      <c r="A44" s="9" t="s">
        <v>570</v>
      </c>
      <c r="B44" s="9" t="s">
        <v>571</v>
      </c>
      <c r="C44" s="9" t="s">
        <v>572</v>
      </c>
      <c r="D44" s="9" t="s">
        <v>574</v>
      </c>
      <c r="E44" s="8" t="s">
        <v>292</v>
      </c>
    </row>
    <row r="45">
      <c r="A45" s="9" t="s">
        <v>577</v>
      </c>
      <c r="B45" s="9" t="s">
        <v>579</v>
      </c>
      <c r="C45" s="9" t="s">
        <v>580</v>
      </c>
      <c r="D45" s="9" t="s">
        <v>582</v>
      </c>
      <c r="E45" s="8" t="s">
        <v>292</v>
      </c>
    </row>
    <row r="46">
      <c r="A46" s="9" t="s">
        <v>583</v>
      </c>
      <c r="B46" s="9" t="s">
        <v>584</v>
      </c>
      <c r="C46" s="9" t="s">
        <v>586</v>
      </c>
      <c r="D46" s="9" t="s">
        <v>587</v>
      </c>
      <c r="E46" s="8" t="s">
        <v>292</v>
      </c>
    </row>
    <row r="47">
      <c r="A47" s="9" t="s">
        <v>588</v>
      </c>
      <c r="B47" s="9" t="s">
        <v>589</v>
      </c>
      <c r="C47" s="9" t="s">
        <v>590</v>
      </c>
      <c r="D47" s="9" t="s">
        <v>591</v>
      </c>
      <c r="E47" s="8" t="s">
        <v>292</v>
      </c>
    </row>
    <row r="48">
      <c r="A48" s="9" t="s">
        <v>592</v>
      </c>
      <c r="B48" s="9" t="s">
        <v>593</v>
      </c>
      <c r="C48" s="9" t="s">
        <v>594</v>
      </c>
      <c r="D48" s="9" t="s">
        <v>595</v>
      </c>
      <c r="E48" s="8" t="s">
        <v>292</v>
      </c>
    </row>
    <row r="49">
      <c r="A49" s="9" t="s">
        <v>597</v>
      </c>
      <c r="B49" s="9" t="s">
        <v>598</v>
      </c>
      <c r="C49" s="9" t="s">
        <v>600</v>
      </c>
      <c r="D49" s="9" t="s">
        <v>601</v>
      </c>
      <c r="E49" s="8" t="s">
        <v>292</v>
      </c>
    </row>
    <row r="50">
      <c r="A50" s="9" t="s">
        <v>602</v>
      </c>
      <c r="B50" s="9" t="s">
        <v>603</v>
      </c>
      <c r="C50" s="9" t="s">
        <v>604</v>
      </c>
      <c r="D50" s="9" t="s">
        <v>605</v>
      </c>
      <c r="E50" s="8" t="s">
        <v>292</v>
      </c>
    </row>
    <row r="51">
      <c r="A51" s="9" t="s">
        <v>606</v>
      </c>
      <c r="B51" s="9" t="s">
        <v>607</v>
      </c>
      <c r="C51" s="9" t="s">
        <v>608</v>
      </c>
      <c r="D51" s="9" t="s">
        <v>609</v>
      </c>
      <c r="E51" s="8" t="s">
        <v>292</v>
      </c>
    </row>
    <row r="52">
      <c r="A52" s="9" t="s">
        <v>610</v>
      </c>
      <c r="B52" s="9" t="s">
        <v>611</v>
      </c>
      <c r="C52" s="9" t="s">
        <v>613</v>
      </c>
      <c r="D52" s="9" t="s">
        <v>614</v>
      </c>
      <c r="E52" s="8" t="s">
        <v>292</v>
      </c>
    </row>
    <row r="53">
      <c r="A53" s="9" t="s">
        <v>615</v>
      </c>
      <c r="B53" s="9" t="s">
        <v>616</v>
      </c>
      <c r="C53" s="9" t="s">
        <v>617</v>
      </c>
      <c r="D53" s="9" t="s">
        <v>618</v>
      </c>
      <c r="E53" s="8" t="s">
        <v>292</v>
      </c>
    </row>
    <row r="54">
      <c r="A54" s="9" t="s">
        <v>619</v>
      </c>
      <c r="B54" s="9" t="s">
        <v>620</v>
      </c>
      <c r="C54" s="9" t="s">
        <v>621</v>
      </c>
      <c r="D54" s="9" t="s">
        <v>622</v>
      </c>
      <c r="E54" s="8" t="s">
        <v>292</v>
      </c>
    </row>
    <row r="55">
      <c r="A55" s="9" t="s">
        <v>623</v>
      </c>
      <c r="B55" s="9" t="s">
        <v>624</v>
      </c>
      <c r="C55" s="9" t="s">
        <v>625</v>
      </c>
      <c r="D55" s="9" t="s">
        <v>626</v>
      </c>
      <c r="E55" s="8" t="s">
        <v>292</v>
      </c>
    </row>
    <row r="56">
      <c r="A56" s="9" t="s">
        <v>627</v>
      </c>
      <c r="B56" s="9" t="s">
        <v>628</v>
      </c>
      <c r="C56" s="9" t="s">
        <v>629</v>
      </c>
      <c r="D56" s="9" t="s">
        <v>630</v>
      </c>
      <c r="E56" s="8" t="s">
        <v>292</v>
      </c>
    </row>
    <row r="57">
      <c r="A57" s="9" t="s">
        <v>632</v>
      </c>
      <c r="B57" s="9" t="s">
        <v>633</v>
      </c>
      <c r="C57" s="9" t="s">
        <v>634</v>
      </c>
      <c r="D57" s="9" t="s">
        <v>635</v>
      </c>
      <c r="E57" s="8" t="s">
        <v>292</v>
      </c>
    </row>
    <row r="58">
      <c r="A58" s="9" t="s">
        <v>636</v>
      </c>
      <c r="B58" s="9" t="s">
        <v>637</v>
      </c>
      <c r="C58" s="9" t="s">
        <v>638</v>
      </c>
      <c r="D58" s="9" t="s">
        <v>639</v>
      </c>
      <c r="E58" s="8" t="s">
        <v>292</v>
      </c>
    </row>
    <row r="59">
      <c r="A59" s="9" t="s">
        <v>640</v>
      </c>
      <c r="B59" s="9" t="s">
        <v>641</v>
      </c>
      <c r="C59" s="9" t="s">
        <v>642</v>
      </c>
      <c r="D59" s="9" t="s">
        <v>643</v>
      </c>
      <c r="E59" s="8" t="s">
        <v>292</v>
      </c>
    </row>
    <row r="60">
      <c r="A60" s="9" t="s">
        <v>644</v>
      </c>
      <c r="B60" s="9" t="s">
        <v>645</v>
      </c>
      <c r="C60" s="9" t="s">
        <v>646</v>
      </c>
      <c r="D60" s="9" t="s">
        <v>647</v>
      </c>
      <c r="E60" s="8" t="s">
        <v>292</v>
      </c>
    </row>
    <row r="61">
      <c r="A61" s="9" t="s">
        <v>648</v>
      </c>
      <c r="B61" s="9" t="s">
        <v>649</v>
      </c>
      <c r="C61" s="9" t="s">
        <v>650</v>
      </c>
      <c r="D61" s="9" t="s">
        <v>651</v>
      </c>
      <c r="E61" s="8" t="s">
        <v>292</v>
      </c>
    </row>
    <row r="62">
      <c r="A62" s="9" t="s">
        <v>652</v>
      </c>
      <c r="B62" s="9" t="s">
        <v>653</v>
      </c>
      <c r="C62" s="9" t="s">
        <v>655</v>
      </c>
      <c r="D62" s="9" t="s">
        <v>656</v>
      </c>
      <c r="E62" s="8" t="s">
        <v>292</v>
      </c>
    </row>
    <row r="63">
      <c r="A63" s="9" t="s">
        <v>657</v>
      </c>
      <c r="B63" s="9" t="s">
        <v>658</v>
      </c>
      <c r="C63" s="9" t="s">
        <v>659</v>
      </c>
      <c r="D63" s="9" t="s">
        <v>660</v>
      </c>
      <c r="E63" s="8" t="s">
        <v>292</v>
      </c>
    </row>
    <row r="64">
      <c r="A64" s="9" t="s">
        <v>661</v>
      </c>
      <c r="B64" s="9" t="s">
        <v>662</v>
      </c>
      <c r="C64" s="9" t="s">
        <v>663</v>
      </c>
      <c r="D64" s="9" t="s">
        <v>664</v>
      </c>
      <c r="E64" s="8" t="s">
        <v>292</v>
      </c>
    </row>
    <row r="65">
      <c r="A65" s="9" t="s">
        <v>665</v>
      </c>
      <c r="B65" s="9" t="s">
        <v>666</v>
      </c>
      <c r="C65" s="9" t="s">
        <v>667</v>
      </c>
      <c r="D65" s="9" t="s">
        <v>668</v>
      </c>
      <c r="E65" s="8" t="s">
        <v>292</v>
      </c>
    </row>
    <row r="66">
      <c r="A66" s="9" t="s">
        <v>669</v>
      </c>
      <c r="B66" s="9" t="s">
        <v>670</v>
      </c>
      <c r="C66" s="9" t="s">
        <v>671</v>
      </c>
      <c r="D66" s="9" t="s">
        <v>672</v>
      </c>
      <c r="E66" s="8" t="s">
        <v>292</v>
      </c>
    </row>
    <row r="67">
      <c r="A67" s="9" t="s">
        <v>673</v>
      </c>
      <c r="B67" s="9" t="s">
        <v>674</v>
      </c>
      <c r="C67" s="9" t="s">
        <v>675</v>
      </c>
      <c r="D67" s="9" t="s">
        <v>676</v>
      </c>
      <c r="E67" s="8" t="s">
        <v>292</v>
      </c>
    </row>
    <row r="68">
      <c r="A68" s="9" t="s">
        <v>678</v>
      </c>
      <c r="B68" s="9" t="s">
        <v>679</v>
      </c>
      <c r="C68" s="9" t="s">
        <v>680</v>
      </c>
      <c r="D68" s="9" t="s">
        <v>681</v>
      </c>
      <c r="E68" s="8" t="s">
        <v>292</v>
      </c>
    </row>
    <row r="69">
      <c r="A69" s="9" t="s">
        <v>682</v>
      </c>
      <c r="B69" s="9" t="s">
        <v>683</v>
      </c>
      <c r="C69" s="9" t="s">
        <v>684</v>
      </c>
      <c r="D69" s="9" t="s">
        <v>685</v>
      </c>
      <c r="E69" s="8" t="s">
        <v>292</v>
      </c>
    </row>
    <row r="70">
      <c r="A70" s="9" t="s">
        <v>686</v>
      </c>
      <c r="B70" s="9" t="s">
        <v>687</v>
      </c>
      <c r="C70" s="9" t="s">
        <v>688</v>
      </c>
      <c r="D70" s="9" t="s">
        <v>689</v>
      </c>
      <c r="E70" s="8" t="s">
        <v>292</v>
      </c>
    </row>
    <row r="71">
      <c r="A71" s="9" t="s">
        <v>690</v>
      </c>
      <c r="B71" s="9" t="s">
        <v>691</v>
      </c>
      <c r="C71" s="9" t="s">
        <v>692</v>
      </c>
      <c r="D71" s="9" t="s">
        <v>693</v>
      </c>
      <c r="E71" s="8" t="s">
        <v>292</v>
      </c>
    </row>
  </sheetData>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s>
  <drawing r:id="rId7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75"/>
  </cols>
  <sheetData>
    <row r="1">
      <c r="A1" s="18" t="s">
        <v>523</v>
      </c>
      <c r="B1" s="19" t="s">
        <v>525</v>
      </c>
      <c r="C1" s="19" t="s">
        <v>530</v>
      </c>
      <c r="D1" s="19" t="s">
        <v>532</v>
      </c>
      <c r="E1" s="20"/>
      <c r="F1" s="21"/>
      <c r="G1" s="21"/>
      <c r="H1" s="21"/>
      <c r="I1" s="21"/>
      <c r="J1" s="21"/>
      <c r="K1" s="3"/>
      <c r="L1" s="22"/>
      <c r="M1" s="20"/>
      <c r="N1" s="20"/>
      <c r="O1" s="20"/>
      <c r="P1" s="20"/>
      <c r="Q1" s="20"/>
      <c r="R1" s="20"/>
      <c r="S1" s="20"/>
      <c r="T1" s="20"/>
      <c r="U1" s="20"/>
      <c r="V1" s="20"/>
      <c r="W1" s="20"/>
      <c r="X1" s="20"/>
      <c r="Y1" s="20"/>
      <c r="Z1" s="20"/>
    </row>
    <row r="2">
      <c r="A2" s="23"/>
      <c r="B2" s="24" t="s">
        <v>569</v>
      </c>
      <c r="C2" s="25" t="s">
        <v>573</v>
      </c>
      <c r="D2" s="25" t="s">
        <v>575</v>
      </c>
      <c r="E2" s="26" t="s">
        <v>578</v>
      </c>
      <c r="F2" s="27"/>
      <c r="G2" s="21"/>
      <c r="H2" s="21"/>
      <c r="I2" s="21"/>
      <c r="J2" s="21"/>
      <c r="K2" s="3"/>
      <c r="L2" s="22"/>
      <c r="M2" s="20"/>
      <c r="N2" s="20"/>
      <c r="O2" s="20"/>
      <c r="P2" s="20"/>
      <c r="Q2" s="20"/>
      <c r="R2" s="20"/>
      <c r="S2" s="20"/>
      <c r="T2" s="20"/>
      <c r="U2" s="20"/>
      <c r="V2" s="20"/>
      <c r="W2" s="20"/>
      <c r="X2" s="20"/>
      <c r="Y2" s="20"/>
      <c r="Z2" s="20"/>
    </row>
    <row r="3">
      <c r="A3" s="23"/>
      <c r="B3" s="24" t="s">
        <v>569</v>
      </c>
      <c r="C3" s="25" t="s">
        <v>596</v>
      </c>
      <c r="D3" s="25" t="s">
        <v>599</v>
      </c>
      <c r="E3" s="28"/>
      <c r="F3" s="27"/>
      <c r="G3" s="21"/>
      <c r="H3" s="21"/>
      <c r="I3" s="21"/>
      <c r="J3" s="21"/>
      <c r="K3" s="3"/>
      <c r="L3" s="3"/>
      <c r="M3" s="20"/>
      <c r="N3" s="20"/>
      <c r="O3" s="20"/>
      <c r="P3" s="20"/>
      <c r="Q3" s="20"/>
      <c r="R3" s="20"/>
      <c r="S3" s="20"/>
      <c r="T3" s="20"/>
      <c r="U3" s="20"/>
      <c r="V3" s="20"/>
      <c r="W3" s="20"/>
      <c r="X3" s="20"/>
      <c r="Y3" s="20"/>
      <c r="Z3" s="20"/>
    </row>
    <row r="4">
      <c r="A4" s="23"/>
      <c r="B4" s="24" t="s">
        <v>569</v>
      </c>
      <c r="C4" s="25" t="s">
        <v>596</v>
      </c>
      <c r="D4" s="25" t="s">
        <v>612</v>
      </c>
      <c r="E4" s="28"/>
      <c r="F4" s="27"/>
      <c r="G4" s="21"/>
      <c r="H4" s="21"/>
      <c r="I4" s="21"/>
      <c r="J4" s="21"/>
      <c r="K4" s="20"/>
      <c r="L4" s="20"/>
      <c r="M4" s="20"/>
      <c r="N4" s="20"/>
      <c r="O4" s="20"/>
      <c r="P4" s="20"/>
      <c r="Q4" s="20"/>
      <c r="R4" s="20"/>
      <c r="S4" s="20"/>
      <c r="T4" s="20"/>
      <c r="U4" s="20"/>
      <c r="V4" s="20"/>
      <c r="W4" s="20"/>
      <c r="X4" s="20"/>
      <c r="Y4" s="20"/>
      <c r="Z4" s="20"/>
    </row>
    <row r="5">
      <c r="A5" s="23"/>
      <c r="B5" s="24" t="s">
        <v>569</v>
      </c>
      <c r="C5" s="25" t="s">
        <v>596</v>
      </c>
      <c r="D5" s="25" t="s">
        <v>631</v>
      </c>
      <c r="E5" s="28"/>
      <c r="F5" s="27"/>
      <c r="G5" s="21"/>
      <c r="H5" s="21"/>
      <c r="I5" s="21"/>
      <c r="J5" s="21"/>
      <c r="K5" s="20"/>
      <c r="L5" s="20"/>
      <c r="M5" s="20"/>
      <c r="N5" s="20"/>
      <c r="O5" s="20"/>
      <c r="P5" s="20"/>
      <c r="Q5" s="20"/>
      <c r="R5" s="20"/>
      <c r="S5" s="20"/>
      <c r="T5" s="20"/>
      <c r="U5" s="20"/>
      <c r="V5" s="20"/>
      <c r="W5" s="20"/>
      <c r="X5" s="20"/>
      <c r="Y5" s="20"/>
      <c r="Z5" s="20"/>
    </row>
    <row r="6">
      <c r="A6" s="23"/>
      <c r="B6" s="24" t="s">
        <v>569</v>
      </c>
      <c r="C6" s="25" t="s">
        <v>596</v>
      </c>
      <c r="D6" s="25" t="s">
        <v>654</v>
      </c>
      <c r="E6" s="28"/>
      <c r="F6" s="27"/>
      <c r="G6" s="21"/>
      <c r="H6" s="21"/>
      <c r="I6" s="21"/>
      <c r="J6" s="21"/>
      <c r="K6" s="20"/>
      <c r="L6" s="20"/>
      <c r="M6" s="20"/>
      <c r="N6" s="20"/>
      <c r="O6" s="20"/>
      <c r="P6" s="20"/>
      <c r="Q6" s="20"/>
      <c r="R6" s="20"/>
      <c r="S6" s="20"/>
      <c r="T6" s="20"/>
      <c r="U6" s="20"/>
      <c r="V6" s="20"/>
      <c r="W6" s="20"/>
      <c r="X6" s="20"/>
      <c r="Y6" s="20"/>
      <c r="Z6" s="20"/>
    </row>
    <row r="7">
      <c r="A7" s="23"/>
      <c r="B7" s="24" t="s">
        <v>569</v>
      </c>
      <c r="C7" s="25" t="s">
        <v>596</v>
      </c>
      <c r="D7" s="25" t="s">
        <v>677</v>
      </c>
      <c r="E7" s="28"/>
      <c r="F7" s="27"/>
      <c r="G7" s="21"/>
      <c r="H7" s="21"/>
      <c r="I7" s="21"/>
      <c r="J7" s="21"/>
      <c r="K7" s="20"/>
      <c r="L7" s="20"/>
      <c r="M7" s="20"/>
      <c r="N7" s="20"/>
      <c r="O7" s="20"/>
      <c r="P7" s="20"/>
      <c r="Q7" s="20"/>
      <c r="R7" s="20"/>
      <c r="S7" s="20"/>
      <c r="T7" s="20"/>
      <c r="U7" s="20"/>
      <c r="V7" s="20"/>
      <c r="W7" s="20"/>
      <c r="X7" s="20"/>
      <c r="Y7" s="20"/>
      <c r="Z7" s="20"/>
    </row>
    <row r="8">
      <c r="A8" s="23"/>
      <c r="B8" s="24" t="s">
        <v>569</v>
      </c>
      <c r="C8" s="25" t="s">
        <v>596</v>
      </c>
      <c r="D8" s="25" t="s">
        <v>694</v>
      </c>
      <c r="E8" s="28"/>
      <c r="F8" s="27"/>
      <c r="G8" s="21"/>
      <c r="H8" s="21"/>
      <c r="I8" s="21"/>
      <c r="J8" s="21"/>
      <c r="K8" s="20"/>
      <c r="L8" s="20"/>
      <c r="M8" s="20"/>
      <c r="N8" s="20"/>
      <c r="O8" s="20"/>
      <c r="P8" s="20"/>
      <c r="Q8" s="20"/>
      <c r="R8" s="20"/>
      <c r="S8" s="20"/>
      <c r="T8" s="20"/>
      <c r="U8" s="20"/>
      <c r="V8" s="20"/>
      <c r="W8" s="20"/>
      <c r="X8" s="20"/>
      <c r="Y8" s="20"/>
      <c r="Z8" s="20"/>
    </row>
    <row r="9">
      <c r="A9" s="23"/>
      <c r="B9" s="24" t="s">
        <v>569</v>
      </c>
      <c r="C9" s="25" t="s">
        <v>596</v>
      </c>
      <c r="D9" s="25" t="s">
        <v>695</v>
      </c>
      <c r="E9" s="28"/>
      <c r="F9" s="27"/>
      <c r="G9" s="21"/>
      <c r="H9" s="21"/>
      <c r="I9" s="21"/>
      <c r="J9" s="21"/>
      <c r="K9" s="20"/>
      <c r="L9" s="20"/>
      <c r="M9" s="20"/>
      <c r="N9" s="20"/>
      <c r="O9" s="20"/>
      <c r="P9" s="20"/>
      <c r="Q9" s="20"/>
      <c r="R9" s="20"/>
      <c r="S9" s="20"/>
      <c r="T9" s="20"/>
      <c r="U9" s="20"/>
      <c r="V9" s="20"/>
      <c r="W9" s="20"/>
      <c r="X9" s="20"/>
      <c r="Y9" s="20"/>
      <c r="Z9" s="20"/>
    </row>
    <row r="10">
      <c r="A10" s="22"/>
      <c r="B10" s="24" t="s">
        <v>569</v>
      </c>
      <c r="C10" s="25" t="s">
        <v>596</v>
      </c>
      <c r="D10" s="25" t="s">
        <v>696</v>
      </c>
      <c r="E10" s="28"/>
      <c r="F10" s="27"/>
      <c r="G10" s="21"/>
      <c r="H10" s="21"/>
      <c r="I10" s="21"/>
      <c r="J10" s="21"/>
      <c r="K10" s="20"/>
      <c r="L10" s="20"/>
      <c r="M10" s="20"/>
      <c r="N10" s="20"/>
      <c r="O10" s="20"/>
      <c r="P10" s="20"/>
      <c r="Q10" s="20"/>
      <c r="R10" s="20"/>
      <c r="S10" s="20"/>
      <c r="T10" s="20"/>
      <c r="U10" s="20"/>
      <c r="V10" s="20"/>
      <c r="W10" s="20"/>
      <c r="X10" s="20"/>
      <c r="Y10" s="20"/>
      <c r="Z10" s="20"/>
    </row>
    <row r="11">
      <c r="A11" s="23"/>
      <c r="B11" s="24" t="s">
        <v>569</v>
      </c>
      <c r="C11" s="25" t="s">
        <v>596</v>
      </c>
      <c r="D11" s="25" t="s">
        <v>697</v>
      </c>
      <c r="E11" s="28"/>
      <c r="F11" s="27"/>
      <c r="G11" s="21"/>
      <c r="H11" s="21"/>
      <c r="I11" s="21"/>
      <c r="J11" s="21"/>
      <c r="K11" s="20"/>
      <c r="L11" s="20"/>
      <c r="M11" s="20"/>
      <c r="N11" s="20"/>
      <c r="O11" s="20"/>
      <c r="P11" s="20"/>
      <c r="Q11" s="20"/>
      <c r="R11" s="20"/>
      <c r="S11" s="20"/>
      <c r="T11" s="20"/>
      <c r="U11" s="20"/>
      <c r="V11" s="20"/>
      <c r="W11" s="20"/>
      <c r="X11" s="20"/>
      <c r="Y11" s="20"/>
      <c r="Z11" s="20"/>
    </row>
    <row r="12">
      <c r="A12" s="22"/>
      <c r="B12" s="24" t="s">
        <v>569</v>
      </c>
      <c r="C12" s="25" t="s">
        <v>596</v>
      </c>
      <c r="D12" s="24" t="s">
        <v>698</v>
      </c>
      <c r="E12" s="28"/>
      <c r="F12" s="27"/>
      <c r="G12" s="21"/>
      <c r="H12" s="21"/>
      <c r="I12" s="21"/>
      <c r="J12" s="21"/>
      <c r="K12" s="20"/>
      <c r="L12" s="20"/>
      <c r="M12" s="20"/>
      <c r="N12" s="20"/>
      <c r="O12" s="20"/>
      <c r="P12" s="20"/>
      <c r="Q12" s="20"/>
      <c r="R12" s="20"/>
      <c r="S12" s="20"/>
      <c r="T12" s="20"/>
      <c r="U12" s="20"/>
      <c r="V12" s="20"/>
      <c r="W12" s="20"/>
      <c r="X12" s="20"/>
      <c r="Y12" s="20"/>
      <c r="Z12" s="20"/>
    </row>
    <row r="13">
      <c r="A13" s="23"/>
      <c r="B13" s="24" t="s">
        <v>569</v>
      </c>
      <c r="C13" s="25" t="s">
        <v>596</v>
      </c>
      <c r="D13" s="25" t="s">
        <v>699</v>
      </c>
      <c r="E13" s="28"/>
      <c r="F13" s="27"/>
      <c r="G13" s="21"/>
      <c r="H13" s="21"/>
      <c r="I13" s="21"/>
      <c r="J13" s="21"/>
      <c r="K13" s="20"/>
      <c r="L13" s="20"/>
      <c r="M13" s="20"/>
      <c r="N13" s="20"/>
      <c r="O13" s="20"/>
      <c r="P13" s="20"/>
      <c r="Q13" s="20"/>
      <c r="R13" s="20"/>
      <c r="S13" s="20"/>
      <c r="T13" s="20"/>
      <c r="U13" s="20"/>
      <c r="V13" s="20"/>
      <c r="W13" s="20"/>
      <c r="X13" s="20"/>
      <c r="Y13" s="20"/>
      <c r="Z13" s="20"/>
    </row>
    <row r="14">
      <c r="A14" s="22"/>
      <c r="B14" s="24" t="s">
        <v>569</v>
      </c>
      <c r="C14" s="25" t="s">
        <v>596</v>
      </c>
      <c r="D14" s="25" t="s">
        <v>700</v>
      </c>
      <c r="E14" s="28"/>
      <c r="F14" s="27"/>
      <c r="G14" s="21"/>
      <c r="H14" s="21"/>
      <c r="I14" s="21"/>
      <c r="J14" s="21"/>
      <c r="K14" s="20"/>
      <c r="L14" s="20"/>
      <c r="M14" s="20"/>
      <c r="N14" s="20"/>
      <c r="O14" s="20"/>
      <c r="P14" s="20"/>
      <c r="Q14" s="20"/>
      <c r="R14" s="20"/>
      <c r="S14" s="20"/>
      <c r="T14" s="20"/>
      <c r="U14" s="20"/>
      <c r="V14" s="20"/>
      <c r="W14" s="20"/>
      <c r="X14" s="20"/>
      <c r="Y14" s="20"/>
      <c r="Z14" s="20"/>
    </row>
    <row r="15">
      <c r="A15" s="23"/>
      <c r="B15" s="24" t="s">
        <v>569</v>
      </c>
      <c r="C15" s="25" t="s">
        <v>596</v>
      </c>
      <c r="D15" s="25" t="s">
        <v>701</v>
      </c>
      <c r="E15" s="28"/>
      <c r="F15" s="27"/>
      <c r="G15" s="21"/>
      <c r="H15" s="21"/>
      <c r="I15" s="21"/>
      <c r="J15" s="21"/>
      <c r="K15" s="20"/>
      <c r="L15" s="20"/>
      <c r="M15" s="20"/>
      <c r="N15" s="20"/>
      <c r="O15" s="3"/>
      <c r="P15" s="20"/>
      <c r="Q15" s="20"/>
      <c r="R15" s="20"/>
      <c r="S15" s="20"/>
      <c r="T15" s="20"/>
      <c r="U15" s="20"/>
      <c r="V15" s="20"/>
      <c r="W15" s="20"/>
      <c r="X15" s="20"/>
      <c r="Y15" s="20"/>
      <c r="Z15" s="20"/>
    </row>
    <row r="16">
      <c r="A16" s="22"/>
      <c r="B16" s="24" t="s">
        <v>569</v>
      </c>
      <c r="C16" s="25" t="s">
        <v>596</v>
      </c>
      <c r="D16" s="25" t="s">
        <v>703</v>
      </c>
      <c r="E16" s="28"/>
      <c r="F16" s="27"/>
      <c r="G16" s="21"/>
      <c r="H16" s="21"/>
      <c r="I16" s="21"/>
      <c r="J16" s="21"/>
      <c r="K16" s="20"/>
      <c r="L16" s="20"/>
      <c r="M16" s="20"/>
      <c r="N16" s="20"/>
      <c r="O16" s="3"/>
      <c r="P16" s="20"/>
      <c r="Q16" s="20"/>
      <c r="R16" s="20"/>
      <c r="S16" s="20"/>
      <c r="T16" s="20"/>
      <c r="U16" s="20"/>
      <c r="V16" s="20"/>
      <c r="W16" s="20"/>
      <c r="X16" s="20"/>
      <c r="Y16" s="20"/>
      <c r="Z16" s="20"/>
    </row>
    <row r="17">
      <c r="A17" s="23"/>
      <c r="B17" s="24" t="s">
        <v>569</v>
      </c>
      <c r="C17" s="25" t="s">
        <v>596</v>
      </c>
      <c r="D17" s="25" t="s">
        <v>713</v>
      </c>
      <c r="E17" s="28"/>
      <c r="F17" s="27"/>
      <c r="G17" s="21"/>
      <c r="H17" s="21"/>
      <c r="I17" s="21"/>
      <c r="J17" s="21"/>
      <c r="K17" s="20"/>
      <c r="L17" s="20"/>
      <c r="M17" s="20"/>
      <c r="N17" s="20"/>
      <c r="O17" s="20"/>
      <c r="P17" s="20"/>
      <c r="Q17" s="20"/>
      <c r="R17" s="20"/>
      <c r="S17" s="20"/>
      <c r="T17" s="20"/>
      <c r="U17" s="20"/>
      <c r="V17" s="20"/>
      <c r="W17" s="20"/>
      <c r="X17" s="20"/>
      <c r="Y17" s="20"/>
      <c r="Z17" s="20"/>
    </row>
    <row r="18">
      <c r="A18" s="22"/>
      <c r="B18" s="24" t="s">
        <v>569</v>
      </c>
      <c r="C18" s="25" t="s">
        <v>596</v>
      </c>
      <c r="D18" s="25" t="s">
        <v>719</v>
      </c>
      <c r="E18" s="28"/>
      <c r="F18" s="27"/>
      <c r="G18" s="21"/>
      <c r="H18" s="21"/>
      <c r="I18" s="21"/>
      <c r="J18" s="21"/>
      <c r="K18" s="20"/>
      <c r="L18" s="20"/>
      <c r="M18" s="20"/>
      <c r="N18" s="20"/>
      <c r="O18" s="20"/>
      <c r="P18" s="20"/>
      <c r="Q18" s="20"/>
      <c r="R18" s="20"/>
      <c r="S18" s="20"/>
      <c r="T18" s="20"/>
      <c r="U18" s="20"/>
      <c r="V18" s="20"/>
      <c r="W18" s="20"/>
      <c r="X18" s="20"/>
      <c r="Y18" s="20"/>
      <c r="Z18" s="20"/>
    </row>
    <row r="19">
      <c r="A19" s="23"/>
      <c r="B19" s="24" t="s">
        <v>569</v>
      </c>
      <c r="C19" s="25" t="s">
        <v>596</v>
      </c>
      <c r="D19" s="25" t="s">
        <v>723</v>
      </c>
      <c r="E19" s="28"/>
      <c r="F19" s="27"/>
      <c r="G19" s="21"/>
      <c r="H19" s="21"/>
      <c r="I19" s="21"/>
      <c r="J19" s="21"/>
      <c r="K19" s="20"/>
      <c r="L19" s="20"/>
      <c r="M19" s="20"/>
      <c r="N19" s="20"/>
      <c r="O19" s="20"/>
      <c r="P19" s="20"/>
      <c r="Q19" s="20"/>
      <c r="R19" s="20"/>
      <c r="S19" s="20"/>
      <c r="T19" s="20"/>
      <c r="U19" s="20"/>
      <c r="V19" s="20"/>
      <c r="W19" s="20"/>
      <c r="X19" s="20"/>
      <c r="Y19" s="20"/>
      <c r="Z19" s="20"/>
    </row>
    <row r="20">
      <c r="A20" s="22"/>
      <c r="B20" s="24" t="s">
        <v>569</v>
      </c>
      <c r="C20" s="25" t="s">
        <v>728</v>
      </c>
      <c r="D20" s="25" t="s">
        <v>729</v>
      </c>
      <c r="E20" s="28"/>
      <c r="F20" s="33"/>
      <c r="G20" s="21"/>
      <c r="H20" s="21"/>
      <c r="I20" s="21"/>
      <c r="J20" s="21"/>
      <c r="K20" s="20"/>
      <c r="L20" s="20"/>
      <c r="M20" s="20"/>
      <c r="N20" s="20"/>
      <c r="O20" s="20"/>
      <c r="P20" s="20"/>
      <c r="Q20" s="20"/>
      <c r="R20" s="20"/>
      <c r="S20" s="20"/>
      <c r="T20" s="20"/>
      <c r="U20" s="20"/>
      <c r="V20" s="20"/>
      <c r="W20" s="20"/>
      <c r="X20" s="20"/>
      <c r="Y20" s="20"/>
      <c r="Z20" s="20"/>
    </row>
    <row r="21">
      <c r="A21" s="23"/>
      <c r="B21" s="24" t="s">
        <v>569</v>
      </c>
      <c r="C21" s="25" t="s">
        <v>728</v>
      </c>
      <c r="D21" s="25" t="s">
        <v>733</v>
      </c>
      <c r="E21" s="28"/>
      <c r="F21" s="33"/>
      <c r="G21" s="21"/>
      <c r="H21" s="21"/>
      <c r="I21" s="21"/>
      <c r="J21" s="21"/>
      <c r="K21" s="20"/>
      <c r="L21" s="20"/>
      <c r="M21" s="20"/>
      <c r="N21" s="20"/>
      <c r="O21" s="20"/>
      <c r="P21" s="20"/>
      <c r="Q21" s="20"/>
      <c r="R21" s="20"/>
      <c r="S21" s="20"/>
      <c r="T21" s="20"/>
      <c r="U21" s="20"/>
      <c r="V21" s="20"/>
      <c r="W21" s="20"/>
      <c r="X21" s="20"/>
      <c r="Y21" s="20"/>
      <c r="Z21" s="20"/>
    </row>
    <row r="22">
      <c r="A22" s="20"/>
      <c r="B22" s="24" t="s">
        <v>569</v>
      </c>
      <c r="C22" s="25" t="s">
        <v>728</v>
      </c>
      <c r="D22" s="25" t="s">
        <v>736</v>
      </c>
      <c r="E22" s="28"/>
      <c r="F22" s="33"/>
      <c r="G22" s="21"/>
      <c r="H22" s="21"/>
      <c r="I22" s="21"/>
      <c r="J22" s="21"/>
      <c r="K22" s="20"/>
      <c r="L22" s="20"/>
      <c r="M22" s="20"/>
      <c r="N22" s="20"/>
      <c r="O22" s="20"/>
      <c r="P22" s="20"/>
      <c r="Q22" s="20"/>
      <c r="R22" s="20"/>
      <c r="S22" s="20"/>
      <c r="T22" s="20"/>
      <c r="U22" s="20"/>
      <c r="V22" s="20"/>
      <c r="W22" s="20"/>
      <c r="X22" s="20"/>
      <c r="Y22" s="20"/>
      <c r="Z22" s="20"/>
    </row>
    <row r="23">
      <c r="A23" s="20"/>
      <c r="B23" s="24" t="s">
        <v>569</v>
      </c>
      <c r="C23" s="25" t="s">
        <v>728</v>
      </c>
      <c r="D23" s="25" t="s">
        <v>738</v>
      </c>
      <c r="E23" s="28"/>
      <c r="F23" s="33"/>
      <c r="G23" s="21"/>
      <c r="H23" s="21"/>
      <c r="I23" s="21"/>
      <c r="J23" s="21"/>
      <c r="K23" s="20"/>
      <c r="L23" s="20"/>
      <c r="M23" s="20"/>
      <c r="N23" s="20"/>
      <c r="O23" s="20"/>
      <c r="P23" s="20"/>
      <c r="Q23" s="20"/>
      <c r="R23" s="20"/>
      <c r="S23" s="20"/>
      <c r="T23" s="20"/>
      <c r="U23" s="20"/>
      <c r="V23" s="20"/>
      <c r="W23" s="20"/>
      <c r="X23" s="20"/>
      <c r="Y23" s="20"/>
      <c r="Z23" s="20"/>
    </row>
    <row r="24">
      <c r="A24" s="20"/>
      <c r="B24" s="24" t="s">
        <v>569</v>
      </c>
      <c r="C24" s="25" t="s">
        <v>728</v>
      </c>
      <c r="D24" s="25" t="s">
        <v>740</v>
      </c>
      <c r="E24" s="28"/>
      <c r="F24" s="33"/>
      <c r="G24" s="21"/>
      <c r="H24" s="21"/>
      <c r="I24" s="21"/>
      <c r="J24" s="21"/>
      <c r="K24" s="20"/>
      <c r="L24" s="20"/>
      <c r="M24" s="20"/>
      <c r="N24" s="20"/>
      <c r="O24" s="20"/>
      <c r="P24" s="20"/>
      <c r="Q24" s="20"/>
      <c r="R24" s="20"/>
      <c r="S24" s="20"/>
      <c r="T24" s="20"/>
      <c r="U24" s="20"/>
      <c r="V24" s="20"/>
      <c r="W24" s="20"/>
      <c r="X24" s="20"/>
      <c r="Y24" s="20"/>
      <c r="Z24" s="20"/>
    </row>
    <row r="25">
      <c r="A25" s="20"/>
      <c r="B25" s="24" t="s">
        <v>569</v>
      </c>
      <c r="C25" s="25" t="s">
        <v>728</v>
      </c>
      <c r="D25" s="25" t="s">
        <v>743</v>
      </c>
      <c r="E25" s="28"/>
      <c r="F25" s="33"/>
      <c r="G25" s="21"/>
      <c r="H25" s="21"/>
      <c r="I25" s="21"/>
      <c r="J25" s="21"/>
      <c r="K25" s="20"/>
      <c r="L25" s="20"/>
      <c r="M25" s="20"/>
      <c r="N25" s="20"/>
      <c r="O25" s="20"/>
      <c r="P25" s="20"/>
      <c r="Q25" s="20"/>
      <c r="R25" s="20"/>
      <c r="S25" s="20"/>
      <c r="T25" s="20"/>
      <c r="U25" s="20"/>
      <c r="V25" s="20"/>
      <c r="W25" s="20"/>
      <c r="X25" s="20"/>
      <c r="Y25" s="20"/>
      <c r="Z25" s="20"/>
    </row>
    <row r="26">
      <c r="A26" s="20"/>
      <c r="B26" s="24" t="s">
        <v>569</v>
      </c>
      <c r="C26" s="25" t="s">
        <v>728</v>
      </c>
      <c r="D26" s="25" t="s">
        <v>747</v>
      </c>
      <c r="E26" s="28"/>
      <c r="K26" s="20"/>
      <c r="L26" s="20"/>
      <c r="M26" s="20"/>
      <c r="N26" s="20"/>
      <c r="O26" s="20"/>
      <c r="P26" s="20"/>
      <c r="Q26" s="20"/>
      <c r="R26" s="20"/>
      <c r="S26" s="20"/>
      <c r="T26" s="20"/>
      <c r="U26" s="20"/>
      <c r="V26" s="20"/>
      <c r="W26" s="20"/>
      <c r="X26" s="20"/>
      <c r="Y26" s="20"/>
      <c r="Z26" s="20"/>
    </row>
    <row r="27">
      <c r="A27" s="20"/>
      <c r="B27" s="24" t="s">
        <v>569</v>
      </c>
      <c r="C27" s="25" t="s">
        <v>728</v>
      </c>
      <c r="D27" s="25" t="s">
        <v>748</v>
      </c>
      <c r="E27" s="28"/>
      <c r="K27" s="20"/>
      <c r="L27" s="20"/>
      <c r="M27" s="20"/>
      <c r="N27" s="20"/>
      <c r="O27" s="20"/>
      <c r="P27" s="20"/>
      <c r="Q27" s="20"/>
      <c r="R27" s="20"/>
      <c r="S27" s="20"/>
      <c r="T27" s="20"/>
      <c r="U27" s="20"/>
      <c r="V27" s="20"/>
      <c r="W27" s="20"/>
      <c r="X27" s="20"/>
      <c r="Y27" s="20"/>
      <c r="Z27" s="20"/>
    </row>
    <row r="28">
      <c r="A28" s="20"/>
      <c r="B28" s="24" t="s">
        <v>569</v>
      </c>
      <c r="C28" s="25" t="s">
        <v>728</v>
      </c>
      <c r="D28" s="25" t="s">
        <v>751</v>
      </c>
      <c r="E28" s="28"/>
      <c r="F28" s="20"/>
      <c r="G28" s="20"/>
      <c r="H28" s="20"/>
      <c r="I28" s="20"/>
      <c r="J28" s="20"/>
      <c r="K28" s="20"/>
      <c r="L28" s="20"/>
      <c r="M28" s="20"/>
      <c r="N28" s="20"/>
      <c r="O28" s="20"/>
      <c r="P28" s="20"/>
      <c r="Q28" s="20"/>
      <c r="R28" s="20"/>
      <c r="S28" s="20"/>
      <c r="T28" s="20"/>
      <c r="U28" s="20"/>
      <c r="V28" s="20"/>
      <c r="W28" s="20"/>
      <c r="X28" s="20"/>
      <c r="Y28" s="20"/>
      <c r="Z28" s="20"/>
    </row>
    <row r="29">
      <c r="A29" s="20"/>
      <c r="B29" s="24" t="s">
        <v>569</v>
      </c>
      <c r="C29" s="25" t="s">
        <v>728</v>
      </c>
      <c r="D29" s="25" t="s">
        <v>753</v>
      </c>
      <c r="E29" s="28"/>
      <c r="F29" s="20"/>
      <c r="G29" s="20"/>
      <c r="H29" s="20"/>
      <c r="I29" s="20"/>
      <c r="J29" s="20"/>
      <c r="K29" s="20"/>
      <c r="L29" s="20"/>
      <c r="M29" s="20"/>
      <c r="N29" s="20"/>
      <c r="O29" s="20"/>
      <c r="P29" s="20"/>
      <c r="Q29" s="20"/>
      <c r="R29" s="20"/>
      <c r="S29" s="20"/>
      <c r="T29" s="20"/>
      <c r="U29" s="20"/>
      <c r="V29" s="20"/>
      <c r="W29" s="20"/>
      <c r="X29" s="20"/>
      <c r="Y29" s="20"/>
      <c r="Z29" s="20"/>
    </row>
    <row r="30">
      <c r="A30" s="20"/>
      <c r="B30" s="24" t="s">
        <v>569</v>
      </c>
      <c r="C30" s="25" t="s">
        <v>728</v>
      </c>
      <c r="D30" s="25" t="s">
        <v>754</v>
      </c>
      <c r="E30" s="28"/>
      <c r="F30" s="20"/>
      <c r="G30" s="20"/>
      <c r="H30" s="20"/>
      <c r="I30" s="20"/>
      <c r="J30" s="20"/>
      <c r="K30" s="20"/>
      <c r="L30" s="20"/>
      <c r="M30" s="20"/>
      <c r="N30" s="20"/>
      <c r="O30" s="20"/>
      <c r="P30" s="20"/>
      <c r="Q30" s="20"/>
      <c r="R30" s="20"/>
      <c r="S30" s="20"/>
      <c r="T30" s="20"/>
      <c r="U30" s="20"/>
      <c r="V30" s="20"/>
      <c r="W30" s="20"/>
      <c r="X30" s="20"/>
      <c r="Y30" s="20"/>
      <c r="Z30" s="20"/>
    </row>
    <row r="31">
      <c r="A31" s="20"/>
      <c r="B31" s="24" t="s">
        <v>569</v>
      </c>
      <c r="C31" s="25" t="s">
        <v>728</v>
      </c>
      <c r="D31" s="25" t="s">
        <v>755</v>
      </c>
      <c r="E31" s="26" t="s">
        <v>578</v>
      </c>
      <c r="F31" s="20"/>
      <c r="G31" s="20"/>
      <c r="H31" s="20"/>
      <c r="I31" s="20"/>
      <c r="J31" s="20"/>
      <c r="K31" s="20"/>
      <c r="L31" s="20"/>
      <c r="M31" s="20"/>
      <c r="N31" s="20"/>
      <c r="O31" s="20"/>
      <c r="P31" s="20"/>
      <c r="Q31" s="20"/>
      <c r="R31" s="20"/>
      <c r="S31" s="20"/>
      <c r="T31" s="20"/>
      <c r="U31" s="20"/>
      <c r="V31" s="20"/>
      <c r="W31" s="20"/>
      <c r="X31" s="20"/>
      <c r="Y31" s="20"/>
      <c r="Z31" s="20"/>
    </row>
    <row r="32">
      <c r="A32" s="20"/>
      <c r="B32" s="24" t="s">
        <v>569</v>
      </c>
      <c r="C32" s="25" t="s">
        <v>728</v>
      </c>
      <c r="D32" s="25" t="s">
        <v>757</v>
      </c>
      <c r="E32" s="28"/>
      <c r="F32" s="20"/>
      <c r="G32" s="20"/>
      <c r="H32" s="20"/>
      <c r="I32" s="20"/>
      <c r="J32" s="20"/>
      <c r="K32" s="20"/>
      <c r="L32" s="20"/>
      <c r="M32" s="20"/>
      <c r="N32" s="20"/>
      <c r="O32" s="20"/>
      <c r="P32" s="20"/>
      <c r="Q32" s="20"/>
      <c r="R32" s="20"/>
      <c r="S32" s="20"/>
      <c r="T32" s="20"/>
      <c r="U32" s="20"/>
      <c r="V32" s="20"/>
      <c r="W32" s="20"/>
      <c r="X32" s="20"/>
      <c r="Y32" s="20"/>
      <c r="Z32" s="20"/>
    </row>
    <row r="33">
      <c r="A33" s="20"/>
      <c r="B33" s="24" t="s">
        <v>569</v>
      </c>
      <c r="C33" s="25" t="s">
        <v>728</v>
      </c>
      <c r="D33" s="25" t="s">
        <v>760</v>
      </c>
      <c r="E33" s="28"/>
      <c r="F33" s="20"/>
      <c r="G33" s="20"/>
      <c r="H33" s="20"/>
      <c r="I33" s="20"/>
      <c r="J33" s="20"/>
      <c r="K33" s="20"/>
      <c r="L33" s="20"/>
      <c r="M33" s="20"/>
      <c r="N33" s="20"/>
      <c r="O33" s="20"/>
      <c r="P33" s="20"/>
      <c r="Q33" s="20"/>
      <c r="R33" s="20"/>
      <c r="S33" s="20"/>
      <c r="T33" s="20"/>
      <c r="U33" s="20"/>
      <c r="V33" s="20"/>
      <c r="W33" s="20"/>
      <c r="X33" s="20"/>
      <c r="Y33" s="20"/>
      <c r="Z33" s="20"/>
    </row>
    <row r="34">
      <c r="A34" s="20"/>
      <c r="B34" s="24" t="s">
        <v>569</v>
      </c>
      <c r="C34" s="25" t="s">
        <v>728</v>
      </c>
      <c r="D34" s="25" t="s">
        <v>764</v>
      </c>
      <c r="E34" s="28"/>
      <c r="F34" s="20"/>
      <c r="G34" s="20"/>
      <c r="H34" s="20"/>
      <c r="I34" s="20"/>
      <c r="J34" s="20"/>
      <c r="K34" s="20"/>
      <c r="L34" s="20"/>
      <c r="M34" s="20"/>
      <c r="N34" s="20"/>
      <c r="O34" s="20"/>
      <c r="P34" s="20"/>
      <c r="Q34" s="20"/>
      <c r="R34" s="20"/>
      <c r="S34" s="20"/>
      <c r="T34" s="20"/>
      <c r="U34" s="20"/>
      <c r="V34" s="20"/>
      <c r="W34" s="20"/>
      <c r="X34" s="20"/>
      <c r="Y34" s="20"/>
      <c r="Z34" s="20"/>
    </row>
    <row r="35">
      <c r="A35" s="20"/>
      <c r="B35" s="24" t="s">
        <v>569</v>
      </c>
      <c r="C35" s="25" t="s">
        <v>728</v>
      </c>
      <c r="D35" s="25" t="s">
        <v>768</v>
      </c>
      <c r="E35" s="28"/>
      <c r="F35" s="20"/>
      <c r="G35" s="20"/>
      <c r="H35" s="20"/>
      <c r="I35" s="20"/>
      <c r="J35" s="20"/>
      <c r="K35" s="20"/>
      <c r="L35" s="20"/>
      <c r="M35" s="20"/>
      <c r="N35" s="20"/>
      <c r="O35" s="20"/>
      <c r="P35" s="20"/>
      <c r="Q35" s="20"/>
      <c r="R35" s="20"/>
      <c r="S35" s="20"/>
      <c r="T35" s="20"/>
      <c r="U35" s="20"/>
      <c r="V35" s="20"/>
      <c r="W35" s="20"/>
      <c r="X35" s="20"/>
      <c r="Y35" s="20"/>
      <c r="Z35" s="20"/>
    </row>
    <row r="36">
      <c r="A36" s="20"/>
      <c r="B36" s="24" t="s">
        <v>569</v>
      </c>
      <c r="C36" s="25" t="s">
        <v>728</v>
      </c>
      <c r="D36" s="25" t="s">
        <v>770</v>
      </c>
      <c r="E36" s="28"/>
      <c r="F36" s="20"/>
      <c r="G36" s="20"/>
      <c r="H36" s="20"/>
      <c r="I36" s="20"/>
      <c r="J36" s="20"/>
      <c r="K36" s="20"/>
      <c r="L36" s="20"/>
      <c r="M36" s="20"/>
      <c r="N36" s="20"/>
      <c r="O36" s="20"/>
      <c r="P36" s="20"/>
      <c r="Q36" s="20"/>
      <c r="R36" s="20"/>
      <c r="S36" s="20"/>
      <c r="T36" s="20"/>
      <c r="U36" s="20"/>
      <c r="V36" s="20"/>
      <c r="W36" s="20"/>
      <c r="X36" s="20"/>
      <c r="Y36" s="20"/>
      <c r="Z36" s="20"/>
    </row>
    <row r="37">
      <c r="A37" s="20"/>
      <c r="B37" s="24" t="s">
        <v>569</v>
      </c>
      <c r="C37" s="25" t="s">
        <v>728</v>
      </c>
      <c r="D37" s="25" t="s">
        <v>771</v>
      </c>
      <c r="E37" s="28"/>
      <c r="F37" s="20"/>
      <c r="G37" s="20"/>
      <c r="H37" s="20"/>
      <c r="I37" s="20"/>
      <c r="J37" s="20"/>
      <c r="K37" s="20"/>
      <c r="L37" s="20"/>
      <c r="M37" s="20"/>
      <c r="N37" s="20"/>
      <c r="O37" s="20"/>
      <c r="P37" s="20"/>
      <c r="Q37" s="20"/>
      <c r="R37" s="20"/>
      <c r="S37" s="20"/>
      <c r="T37" s="20"/>
      <c r="U37" s="20"/>
      <c r="V37" s="20"/>
      <c r="W37" s="20"/>
      <c r="X37" s="20"/>
      <c r="Y37" s="20"/>
      <c r="Z37" s="20"/>
    </row>
    <row r="38">
      <c r="A38" s="20"/>
      <c r="B38" s="24" t="s">
        <v>569</v>
      </c>
      <c r="C38" s="25" t="s">
        <v>728</v>
      </c>
      <c r="D38" s="25" t="s">
        <v>773</v>
      </c>
      <c r="E38" s="28"/>
      <c r="F38" s="20"/>
      <c r="G38" s="20"/>
      <c r="H38" s="20"/>
      <c r="I38" s="20"/>
      <c r="J38" s="20"/>
      <c r="K38" s="20"/>
      <c r="L38" s="20"/>
      <c r="M38" s="20"/>
      <c r="N38" s="20"/>
      <c r="O38" s="20"/>
      <c r="P38" s="20"/>
      <c r="Q38" s="20"/>
      <c r="R38" s="20"/>
      <c r="S38" s="20"/>
      <c r="T38" s="20"/>
      <c r="U38" s="20"/>
      <c r="V38" s="20"/>
      <c r="W38" s="20"/>
      <c r="X38" s="20"/>
      <c r="Y38" s="20"/>
      <c r="Z38" s="20"/>
    </row>
    <row r="39">
      <c r="A39" s="20"/>
      <c r="B39" s="24" t="s">
        <v>569</v>
      </c>
      <c r="C39" s="25" t="s">
        <v>728</v>
      </c>
      <c r="D39" s="25" t="s">
        <v>774</v>
      </c>
      <c r="E39" s="28"/>
      <c r="F39" s="20"/>
      <c r="G39" s="20"/>
      <c r="H39" s="20"/>
      <c r="I39" s="20"/>
      <c r="J39" s="20"/>
      <c r="K39" s="20"/>
      <c r="L39" s="20"/>
      <c r="M39" s="20"/>
      <c r="N39" s="20"/>
      <c r="O39" s="20"/>
      <c r="P39" s="20"/>
      <c r="Q39" s="20"/>
      <c r="R39" s="20"/>
      <c r="S39" s="20"/>
      <c r="T39" s="20"/>
      <c r="U39" s="20"/>
      <c r="V39" s="20"/>
      <c r="W39" s="20"/>
      <c r="X39" s="20"/>
      <c r="Y39" s="20"/>
      <c r="Z39" s="20"/>
    </row>
    <row r="40">
      <c r="A40" s="20"/>
      <c r="B40" s="24" t="s">
        <v>569</v>
      </c>
      <c r="C40" s="25" t="s">
        <v>728</v>
      </c>
      <c r="D40" s="25" t="s">
        <v>776</v>
      </c>
      <c r="E40" s="28"/>
      <c r="F40" s="20"/>
      <c r="G40" s="20"/>
      <c r="H40" s="20"/>
      <c r="I40" s="20"/>
      <c r="J40" s="20"/>
      <c r="K40" s="20"/>
      <c r="L40" s="20"/>
      <c r="M40" s="20"/>
      <c r="N40" s="20"/>
      <c r="O40" s="20"/>
      <c r="P40" s="20"/>
      <c r="Q40" s="20"/>
      <c r="R40" s="20"/>
      <c r="S40" s="20"/>
      <c r="T40" s="20"/>
      <c r="U40" s="20"/>
      <c r="V40" s="20"/>
      <c r="W40" s="20"/>
      <c r="X40" s="20"/>
      <c r="Y40" s="20"/>
      <c r="Z40" s="20"/>
    </row>
    <row r="41">
      <c r="A41" s="20"/>
      <c r="B41" s="24" t="s">
        <v>569</v>
      </c>
      <c r="C41" s="25" t="s">
        <v>728</v>
      </c>
      <c r="D41" s="25" t="s">
        <v>778</v>
      </c>
      <c r="E41" s="28"/>
      <c r="F41" s="20"/>
      <c r="G41" s="20"/>
      <c r="H41" s="20"/>
      <c r="I41" s="20"/>
      <c r="J41" s="20"/>
      <c r="K41" s="20"/>
      <c r="L41" s="20"/>
      <c r="M41" s="20"/>
      <c r="N41" s="20"/>
      <c r="O41" s="20"/>
      <c r="P41" s="20"/>
      <c r="Q41" s="20"/>
      <c r="R41" s="20"/>
      <c r="S41" s="20"/>
      <c r="T41" s="20"/>
      <c r="U41" s="20"/>
      <c r="V41" s="20"/>
      <c r="W41" s="20"/>
      <c r="X41" s="20"/>
      <c r="Y41" s="20"/>
      <c r="Z41" s="20"/>
    </row>
    <row r="42">
      <c r="A42" s="20"/>
      <c r="B42" s="24" t="s">
        <v>569</v>
      </c>
      <c r="C42" s="25" t="s">
        <v>728</v>
      </c>
      <c r="D42" s="25" t="s">
        <v>779</v>
      </c>
      <c r="E42" s="28"/>
      <c r="F42" s="20"/>
      <c r="G42" s="20"/>
      <c r="H42" s="20"/>
      <c r="I42" s="20"/>
      <c r="J42" s="20"/>
      <c r="K42" s="20"/>
      <c r="L42" s="20"/>
      <c r="M42" s="20"/>
      <c r="N42" s="20"/>
      <c r="O42" s="20"/>
      <c r="P42" s="20"/>
      <c r="Q42" s="20"/>
      <c r="R42" s="20"/>
      <c r="S42" s="20"/>
      <c r="T42" s="20"/>
      <c r="U42" s="20"/>
      <c r="V42" s="20"/>
      <c r="W42" s="20"/>
      <c r="X42" s="20"/>
      <c r="Y42" s="20"/>
      <c r="Z42" s="20"/>
    </row>
    <row r="43">
      <c r="A43" s="20"/>
      <c r="B43" s="24" t="s">
        <v>569</v>
      </c>
      <c r="C43" s="25" t="s">
        <v>728</v>
      </c>
      <c r="D43" s="25" t="s">
        <v>780</v>
      </c>
      <c r="E43" s="28"/>
      <c r="F43" s="20"/>
      <c r="G43" s="20"/>
      <c r="H43" s="20"/>
      <c r="I43" s="20"/>
      <c r="J43" s="20"/>
      <c r="K43" s="20"/>
      <c r="L43" s="20"/>
      <c r="M43" s="20"/>
      <c r="N43" s="20"/>
      <c r="O43" s="20"/>
      <c r="P43" s="20"/>
      <c r="Q43" s="20"/>
      <c r="R43" s="20"/>
      <c r="S43" s="20"/>
      <c r="T43" s="20"/>
      <c r="U43" s="20"/>
      <c r="V43" s="20"/>
      <c r="W43" s="20"/>
      <c r="X43" s="20"/>
      <c r="Y43" s="20"/>
      <c r="Z43" s="20"/>
    </row>
    <row r="44">
      <c r="A44" s="20"/>
      <c r="B44" s="24" t="s">
        <v>569</v>
      </c>
      <c r="C44" s="25" t="s">
        <v>728</v>
      </c>
      <c r="D44" s="25" t="s">
        <v>783</v>
      </c>
      <c r="E44" s="28"/>
      <c r="F44" s="20"/>
      <c r="G44" s="20"/>
      <c r="H44" s="20"/>
      <c r="I44" s="20"/>
      <c r="J44" s="20"/>
      <c r="K44" s="20"/>
      <c r="L44" s="20"/>
      <c r="M44" s="20"/>
      <c r="N44" s="20"/>
      <c r="O44" s="20"/>
      <c r="P44" s="20"/>
      <c r="Q44" s="20"/>
      <c r="R44" s="20"/>
      <c r="S44" s="20"/>
      <c r="T44" s="20"/>
      <c r="U44" s="20"/>
      <c r="V44" s="20"/>
      <c r="W44" s="20"/>
      <c r="X44" s="20"/>
      <c r="Y44" s="20"/>
      <c r="Z44" s="20"/>
    </row>
    <row r="45">
      <c r="A45" s="20"/>
      <c r="B45" s="24" t="s">
        <v>569</v>
      </c>
      <c r="C45" s="25" t="s">
        <v>728</v>
      </c>
      <c r="D45" s="25" t="s">
        <v>785</v>
      </c>
      <c r="E45" s="28"/>
      <c r="F45" s="20"/>
      <c r="G45" s="20"/>
      <c r="H45" s="20"/>
      <c r="I45" s="20"/>
      <c r="J45" s="20"/>
      <c r="K45" s="20"/>
      <c r="L45" s="20"/>
      <c r="M45" s="20"/>
      <c r="N45" s="20"/>
      <c r="O45" s="20"/>
      <c r="P45" s="20"/>
      <c r="Q45" s="20"/>
      <c r="R45" s="20"/>
      <c r="S45" s="20"/>
      <c r="T45" s="20"/>
      <c r="U45" s="20"/>
      <c r="V45" s="20"/>
      <c r="W45" s="20"/>
      <c r="X45" s="20"/>
      <c r="Y45" s="20"/>
      <c r="Z45" s="20"/>
    </row>
    <row r="46">
      <c r="A46" s="20"/>
      <c r="B46" s="24" t="s">
        <v>569</v>
      </c>
      <c r="C46" s="25" t="s">
        <v>728</v>
      </c>
      <c r="D46" s="25" t="s">
        <v>787</v>
      </c>
      <c r="E46" s="28"/>
      <c r="F46" s="20"/>
      <c r="G46" s="20"/>
      <c r="H46" s="20"/>
      <c r="I46" s="20"/>
      <c r="J46" s="20"/>
      <c r="K46" s="20"/>
      <c r="L46" s="20"/>
      <c r="M46" s="20"/>
      <c r="N46" s="20"/>
      <c r="O46" s="20"/>
      <c r="P46" s="20"/>
      <c r="Q46" s="20"/>
      <c r="R46" s="20"/>
      <c r="S46" s="20"/>
      <c r="T46" s="20"/>
      <c r="U46" s="20"/>
      <c r="V46" s="20"/>
      <c r="W46" s="20"/>
      <c r="X46" s="20"/>
      <c r="Y46" s="20"/>
      <c r="Z46" s="20"/>
    </row>
    <row r="47">
      <c r="A47" s="20"/>
      <c r="B47" s="24" t="s">
        <v>569</v>
      </c>
      <c r="C47" s="25" t="s">
        <v>728</v>
      </c>
      <c r="D47" s="25" t="s">
        <v>789</v>
      </c>
      <c r="E47" s="28"/>
      <c r="F47" s="20"/>
      <c r="G47" s="20"/>
      <c r="H47" s="20"/>
      <c r="I47" s="20"/>
      <c r="J47" s="20"/>
      <c r="K47" s="20"/>
      <c r="L47" s="20"/>
      <c r="M47" s="20"/>
      <c r="N47" s="20"/>
      <c r="O47" s="20"/>
      <c r="P47" s="20"/>
      <c r="Q47" s="20"/>
      <c r="R47" s="20"/>
      <c r="S47" s="20"/>
      <c r="T47" s="20"/>
      <c r="U47" s="20"/>
      <c r="V47" s="20"/>
      <c r="W47" s="20"/>
      <c r="X47" s="20"/>
      <c r="Y47" s="20"/>
      <c r="Z47" s="20"/>
    </row>
    <row r="48">
      <c r="A48" s="20"/>
      <c r="B48" s="24" t="s">
        <v>569</v>
      </c>
      <c r="C48" s="25" t="s">
        <v>791</v>
      </c>
      <c r="D48" s="25" t="s">
        <v>792</v>
      </c>
      <c r="E48" s="28"/>
      <c r="F48" s="20"/>
      <c r="G48" s="20"/>
      <c r="H48" s="20"/>
      <c r="I48" s="20"/>
      <c r="J48" s="20"/>
      <c r="K48" s="20"/>
      <c r="L48" s="20"/>
      <c r="M48" s="20"/>
      <c r="N48" s="20"/>
      <c r="O48" s="20"/>
      <c r="P48" s="20"/>
      <c r="Q48" s="20"/>
      <c r="R48" s="20"/>
      <c r="S48" s="20"/>
      <c r="T48" s="20"/>
      <c r="U48" s="20"/>
      <c r="V48" s="20"/>
      <c r="W48" s="20"/>
      <c r="X48" s="20"/>
      <c r="Y48" s="20"/>
      <c r="Z48" s="20"/>
    </row>
    <row r="49">
      <c r="A49" s="20"/>
      <c r="B49" s="24" t="s">
        <v>569</v>
      </c>
      <c r="C49" s="25" t="s">
        <v>791</v>
      </c>
      <c r="D49" s="25" t="s">
        <v>793</v>
      </c>
      <c r="E49" s="28"/>
      <c r="F49" s="20"/>
      <c r="G49" s="20"/>
      <c r="H49" s="20"/>
      <c r="I49" s="20"/>
      <c r="J49" s="20"/>
      <c r="K49" s="20"/>
      <c r="L49" s="20"/>
      <c r="M49" s="20"/>
      <c r="N49" s="20"/>
      <c r="O49" s="20"/>
      <c r="P49" s="20"/>
      <c r="Q49" s="20"/>
      <c r="R49" s="20"/>
      <c r="S49" s="20"/>
      <c r="T49" s="20"/>
      <c r="U49" s="20"/>
      <c r="V49" s="20"/>
      <c r="W49" s="20"/>
      <c r="X49" s="20"/>
      <c r="Y49" s="20"/>
      <c r="Z49" s="20"/>
    </row>
    <row r="50">
      <c r="A50" s="20"/>
      <c r="B50" s="24" t="s">
        <v>569</v>
      </c>
      <c r="C50" s="25" t="s">
        <v>791</v>
      </c>
      <c r="D50" s="25" t="s">
        <v>795</v>
      </c>
      <c r="E50" s="28"/>
      <c r="F50" s="20"/>
      <c r="G50" s="20"/>
      <c r="H50" s="20"/>
      <c r="I50" s="20"/>
      <c r="J50" s="20"/>
      <c r="K50" s="20"/>
      <c r="L50" s="20"/>
      <c r="M50" s="20"/>
      <c r="N50" s="20"/>
      <c r="O50" s="20"/>
      <c r="P50" s="20"/>
      <c r="Q50" s="20"/>
      <c r="R50" s="20"/>
      <c r="S50" s="20"/>
      <c r="T50" s="20"/>
      <c r="U50" s="20"/>
      <c r="V50" s="20"/>
      <c r="W50" s="20"/>
      <c r="X50" s="20"/>
      <c r="Y50" s="20"/>
      <c r="Z50" s="20"/>
    </row>
    <row r="51">
      <c r="A51" s="20"/>
      <c r="B51" s="24" t="s">
        <v>569</v>
      </c>
      <c r="C51" s="25" t="s">
        <v>791</v>
      </c>
      <c r="D51" s="25" t="s">
        <v>796</v>
      </c>
      <c r="E51" s="28"/>
      <c r="F51" s="20"/>
      <c r="G51" s="20"/>
      <c r="H51" s="20"/>
      <c r="I51" s="20"/>
      <c r="J51" s="20"/>
      <c r="K51" s="20"/>
      <c r="L51" s="20"/>
      <c r="M51" s="20"/>
      <c r="N51" s="20"/>
      <c r="O51" s="20"/>
      <c r="P51" s="20"/>
      <c r="Q51" s="20"/>
      <c r="R51" s="20"/>
      <c r="S51" s="20"/>
      <c r="T51" s="20"/>
      <c r="U51" s="20"/>
      <c r="V51" s="20"/>
      <c r="W51" s="20"/>
      <c r="X51" s="20"/>
      <c r="Y51" s="20"/>
      <c r="Z51" s="20"/>
    </row>
    <row r="52">
      <c r="A52" s="20"/>
      <c r="B52" s="24" t="s">
        <v>569</v>
      </c>
      <c r="C52" s="25" t="s">
        <v>791</v>
      </c>
      <c r="D52" s="25" t="s">
        <v>799</v>
      </c>
      <c r="E52" s="28"/>
      <c r="F52" s="20"/>
      <c r="G52" s="20"/>
      <c r="H52" s="20"/>
      <c r="I52" s="20"/>
      <c r="J52" s="20"/>
      <c r="K52" s="20"/>
      <c r="L52" s="20"/>
      <c r="M52" s="20"/>
      <c r="N52" s="20"/>
      <c r="O52" s="20"/>
      <c r="P52" s="20"/>
      <c r="Q52" s="20"/>
      <c r="R52" s="20"/>
      <c r="S52" s="20"/>
      <c r="T52" s="20"/>
      <c r="U52" s="20"/>
      <c r="V52" s="20"/>
      <c r="W52" s="20"/>
      <c r="X52" s="20"/>
      <c r="Y52" s="20"/>
      <c r="Z52" s="20"/>
    </row>
    <row r="53">
      <c r="A53" s="20"/>
      <c r="B53" s="24" t="s">
        <v>569</v>
      </c>
      <c r="C53" s="25" t="s">
        <v>791</v>
      </c>
      <c r="D53" s="25" t="s">
        <v>801</v>
      </c>
      <c r="E53" s="28"/>
      <c r="F53" s="20"/>
      <c r="G53" s="20"/>
      <c r="H53" s="20"/>
      <c r="I53" s="20"/>
      <c r="J53" s="20"/>
      <c r="K53" s="20"/>
      <c r="L53" s="20"/>
      <c r="M53" s="20"/>
      <c r="N53" s="20"/>
      <c r="O53" s="20"/>
      <c r="P53" s="20"/>
      <c r="Q53" s="20"/>
      <c r="R53" s="20"/>
      <c r="S53" s="20"/>
      <c r="T53" s="20"/>
      <c r="U53" s="20"/>
      <c r="V53" s="20"/>
      <c r="W53" s="20"/>
      <c r="X53" s="20"/>
      <c r="Y53" s="20"/>
      <c r="Z53" s="20"/>
    </row>
    <row r="54">
      <c r="A54" s="20"/>
      <c r="B54" s="24" t="s">
        <v>569</v>
      </c>
      <c r="C54" s="25" t="s">
        <v>802</v>
      </c>
      <c r="D54" s="25" t="s">
        <v>803</v>
      </c>
      <c r="E54" s="28"/>
      <c r="F54" s="20"/>
      <c r="G54" s="20"/>
      <c r="H54" s="20"/>
      <c r="I54" s="20"/>
      <c r="J54" s="20"/>
      <c r="K54" s="20"/>
      <c r="L54" s="20"/>
      <c r="M54" s="20"/>
      <c r="N54" s="20"/>
      <c r="O54" s="20"/>
      <c r="P54" s="20"/>
      <c r="Q54" s="20"/>
      <c r="R54" s="20"/>
      <c r="S54" s="20"/>
      <c r="T54" s="20"/>
      <c r="U54" s="20"/>
      <c r="V54" s="20"/>
      <c r="W54" s="20"/>
      <c r="X54" s="20"/>
      <c r="Y54" s="20"/>
      <c r="Z54" s="20"/>
    </row>
    <row r="55">
      <c r="A55" s="20"/>
      <c r="B55" s="24" t="s">
        <v>569</v>
      </c>
      <c r="C55" s="25" t="s">
        <v>802</v>
      </c>
      <c r="D55" s="25" t="s">
        <v>808</v>
      </c>
      <c r="E55" s="28"/>
      <c r="F55" s="20"/>
      <c r="G55" s="20"/>
      <c r="H55" s="20"/>
      <c r="I55" s="20"/>
      <c r="J55" s="20"/>
      <c r="K55" s="20"/>
      <c r="L55" s="20"/>
      <c r="M55" s="20"/>
      <c r="N55" s="20"/>
      <c r="O55" s="20"/>
      <c r="P55" s="20"/>
      <c r="Q55" s="20"/>
      <c r="R55" s="20"/>
      <c r="S55" s="20"/>
      <c r="T55" s="20"/>
      <c r="U55" s="20"/>
      <c r="V55" s="20"/>
      <c r="W55" s="20"/>
      <c r="X55" s="20"/>
      <c r="Y55" s="20"/>
      <c r="Z55" s="20"/>
    </row>
    <row r="56">
      <c r="A56" s="20"/>
      <c r="B56" s="24" t="s">
        <v>569</v>
      </c>
      <c r="C56" s="25" t="s">
        <v>802</v>
      </c>
      <c r="D56" s="25" t="s">
        <v>813</v>
      </c>
      <c r="E56" s="28"/>
      <c r="F56" s="20"/>
      <c r="G56" s="20"/>
      <c r="H56" s="20"/>
      <c r="I56" s="20"/>
      <c r="J56" s="20"/>
      <c r="K56" s="20"/>
      <c r="L56" s="20"/>
      <c r="M56" s="20"/>
      <c r="N56" s="20"/>
      <c r="O56" s="20"/>
      <c r="P56" s="20"/>
      <c r="Q56" s="20"/>
      <c r="R56" s="20"/>
      <c r="S56" s="20"/>
      <c r="T56" s="20"/>
      <c r="U56" s="20"/>
      <c r="V56" s="20"/>
      <c r="W56" s="20"/>
      <c r="X56" s="20"/>
      <c r="Y56" s="20"/>
      <c r="Z56" s="20"/>
    </row>
    <row r="57">
      <c r="A57" s="20"/>
      <c r="B57" s="24" t="s">
        <v>569</v>
      </c>
      <c r="C57" s="25" t="s">
        <v>802</v>
      </c>
      <c r="D57" s="25" t="s">
        <v>818</v>
      </c>
      <c r="E57" s="28"/>
      <c r="F57" s="20"/>
      <c r="G57" s="20"/>
      <c r="H57" s="20"/>
      <c r="I57" s="20"/>
      <c r="J57" s="20"/>
      <c r="K57" s="20"/>
      <c r="L57" s="20"/>
      <c r="M57" s="20"/>
      <c r="N57" s="20"/>
      <c r="O57" s="20"/>
      <c r="P57" s="20"/>
      <c r="Q57" s="20"/>
      <c r="R57" s="20"/>
      <c r="S57" s="20"/>
      <c r="T57" s="20"/>
      <c r="U57" s="20"/>
      <c r="V57" s="20"/>
      <c r="W57" s="20"/>
      <c r="X57" s="20"/>
      <c r="Y57" s="20"/>
      <c r="Z57" s="20"/>
    </row>
    <row r="58">
      <c r="A58" s="20"/>
      <c r="B58" s="24" t="s">
        <v>569</v>
      </c>
      <c r="C58" s="25" t="s">
        <v>802</v>
      </c>
      <c r="D58" s="25" t="s">
        <v>820</v>
      </c>
      <c r="E58" s="28"/>
      <c r="F58" s="20"/>
      <c r="G58" s="20"/>
      <c r="H58" s="20"/>
      <c r="I58" s="20"/>
      <c r="J58" s="20"/>
      <c r="K58" s="20"/>
      <c r="L58" s="20"/>
      <c r="M58" s="20"/>
      <c r="N58" s="20"/>
      <c r="O58" s="20"/>
      <c r="P58" s="20"/>
      <c r="Q58" s="20"/>
      <c r="R58" s="20"/>
      <c r="S58" s="20"/>
      <c r="T58" s="20"/>
      <c r="U58" s="20"/>
      <c r="V58" s="20"/>
      <c r="W58" s="20"/>
      <c r="X58" s="20"/>
      <c r="Y58" s="20"/>
      <c r="Z58" s="20"/>
    </row>
    <row r="59">
      <c r="A59" s="20"/>
      <c r="B59" s="24" t="s">
        <v>569</v>
      </c>
      <c r="C59" s="25" t="s">
        <v>802</v>
      </c>
      <c r="D59" s="25" t="s">
        <v>823</v>
      </c>
      <c r="E59" s="28"/>
      <c r="F59" s="20"/>
      <c r="G59" s="20"/>
      <c r="H59" s="20"/>
      <c r="I59" s="20"/>
      <c r="J59" s="20"/>
      <c r="K59" s="20"/>
      <c r="L59" s="20"/>
      <c r="M59" s="20"/>
      <c r="N59" s="20"/>
      <c r="O59" s="20"/>
      <c r="P59" s="20"/>
      <c r="Q59" s="20"/>
      <c r="R59" s="20"/>
      <c r="S59" s="20"/>
      <c r="T59" s="20"/>
      <c r="U59" s="20"/>
      <c r="V59" s="20"/>
      <c r="W59" s="20"/>
      <c r="X59" s="20"/>
      <c r="Y59" s="20"/>
      <c r="Z59" s="20"/>
    </row>
    <row r="60">
      <c r="A60" s="20"/>
      <c r="B60" s="24" t="s">
        <v>569</v>
      </c>
      <c r="C60" s="25" t="s">
        <v>802</v>
      </c>
      <c r="D60" s="25" t="s">
        <v>826</v>
      </c>
      <c r="E60" s="28"/>
      <c r="F60" s="20"/>
      <c r="G60" s="20"/>
      <c r="H60" s="20"/>
      <c r="I60" s="20"/>
      <c r="J60" s="20"/>
      <c r="K60" s="20"/>
      <c r="L60" s="20"/>
      <c r="M60" s="20"/>
      <c r="N60" s="20"/>
      <c r="O60" s="20"/>
      <c r="P60" s="20"/>
      <c r="Q60" s="20"/>
      <c r="R60" s="20"/>
      <c r="S60" s="20"/>
      <c r="T60" s="20"/>
      <c r="U60" s="20"/>
      <c r="V60" s="20"/>
      <c r="W60" s="20"/>
      <c r="X60" s="20"/>
      <c r="Y60" s="20"/>
      <c r="Z60" s="20"/>
    </row>
    <row r="61">
      <c r="A61" s="20"/>
      <c r="B61" s="24" t="s">
        <v>569</v>
      </c>
      <c r="C61" s="25" t="s">
        <v>802</v>
      </c>
      <c r="D61" s="25" t="s">
        <v>828</v>
      </c>
      <c r="E61" s="28"/>
      <c r="F61" s="20"/>
      <c r="G61" s="20"/>
      <c r="H61" s="20"/>
      <c r="I61" s="20"/>
      <c r="J61" s="20"/>
      <c r="K61" s="20"/>
      <c r="L61" s="20"/>
      <c r="M61" s="20"/>
      <c r="N61" s="20"/>
      <c r="O61" s="20"/>
      <c r="P61" s="20"/>
      <c r="Q61" s="20"/>
      <c r="R61" s="20"/>
      <c r="S61" s="20"/>
      <c r="T61" s="20"/>
      <c r="U61" s="20"/>
      <c r="V61" s="20"/>
      <c r="W61" s="20"/>
      <c r="X61" s="20"/>
      <c r="Y61" s="20"/>
      <c r="Z61" s="20"/>
    </row>
    <row r="62">
      <c r="A62" s="20"/>
      <c r="B62" s="24" t="s">
        <v>569</v>
      </c>
      <c r="C62" s="25" t="s">
        <v>802</v>
      </c>
      <c r="D62" s="25" t="s">
        <v>831</v>
      </c>
      <c r="E62" s="28"/>
      <c r="F62" s="20"/>
      <c r="G62" s="20"/>
      <c r="H62" s="20"/>
      <c r="I62" s="20"/>
      <c r="J62" s="20"/>
      <c r="K62" s="20"/>
      <c r="L62" s="20"/>
      <c r="M62" s="20"/>
      <c r="N62" s="20"/>
      <c r="O62" s="20"/>
      <c r="P62" s="20"/>
      <c r="Q62" s="20"/>
      <c r="R62" s="20"/>
      <c r="S62" s="20"/>
      <c r="T62" s="20"/>
      <c r="U62" s="20"/>
      <c r="V62" s="20"/>
      <c r="W62" s="20"/>
      <c r="X62" s="20"/>
      <c r="Y62" s="20"/>
      <c r="Z62" s="20"/>
    </row>
    <row r="63">
      <c r="A63" s="20"/>
      <c r="B63" s="24" t="s">
        <v>569</v>
      </c>
      <c r="C63" s="25" t="s">
        <v>802</v>
      </c>
      <c r="D63" s="25" t="s">
        <v>833</v>
      </c>
      <c r="E63" s="28"/>
      <c r="F63" s="20"/>
      <c r="G63" s="20"/>
      <c r="H63" s="20"/>
      <c r="I63" s="20"/>
      <c r="J63" s="20"/>
      <c r="K63" s="20"/>
      <c r="L63" s="20"/>
      <c r="M63" s="20"/>
      <c r="N63" s="20"/>
      <c r="O63" s="20"/>
      <c r="P63" s="20"/>
      <c r="Q63" s="20"/>
      <c r="R63" s="20"/>
      <c r="S63" s="20"/>
      <c r="T63" s="20"/>
      <c r="U63" s="20"/>
      <c r="V63" s="20"/>
      <c r="W63" s="20"/>
      <c r="X63" s="20"/>
      <c r="Y63" s="20"/>
      <c r="Z63" s="20"/>
    </row>
    <row r="64">
      <c r="A64" s="20"/>
      <c r="B64" s="24" t="s">
        <v>569</v>
      </c>
      <c r="C64" s="25" t="s">
        <v>802</v>
      </c>
      <c r="D64" s="25" t="s">
        <v>835</v>
      </c>
      <c r="E64" s="28"/>
      <c r="F64" s="20"/>
      <c r="G64" s="20"/>
      <c r="H64" s="20"/>
      <c r="I64" s="20"/>
      <c r="J64" s="20"/>
      <c r="K64" s="20"/>
      <c r="L64" s="20"/>
      <c r="M64" s="20"/>
      <c r="N64" s="20"/>
      <c r="O64" s="20"/>
      <c r="P64" s="20"/>
      <c r="Q64" s="20"/>
      <c r="R64" s="20"/>
      <c r="S64" s="20"/>
      <c r="T64" s="20"/>
      <c r="U64" s="20"/>
      <c r="V64" s="20"/>
      <c r="W64" s="20"/>
      <c r="X64" s="20"/>
      <c r="Y64" s="20"/>
      <c r="Z64" s="20"/>
    </row>
    <row r="65">
      <c r="A65" s="20"/>
      <c r="B65" s="24" t="s">
        <v>569</v>
      </c>
      <c r="C65" s="25" t="s">
        <v>802</v>
      </c>
      <c r="D65" s="25" t="s">
        <v>836</v>
      </c>
      <c r="E65" s="28"/>
      <c r="F65" s="20"/>
      <c r="G65" s="20"/>
      <c r="H65" s="20"/>
      <c r="I65" s="20"/>
      <c r="J65" s="20"/>
      <c r="K65" s="20"/>
      <c r="L65" s="20"/>
      <c r="M65" s="20"/>
      <c r="N65" s="20"/>
      <c r="O65" s="20"/>
      <c r="P65" s="20"/>
      <c r="Q65" s="20"/>
      <c r="R65" s="20"/>
      <c r="S65" s="20"/>
      <c r="T65" s="20"/>
      <c r="U65" s="20"/>
      <c r="V65" s="20"/>
      <c r="W65" s="20"/>
      <c r="X65" s="20"/>
      <c r="Y65" s="20"/>
      <c r="Z65" s="20"/>
    </row>
    <row r="66">
      <c r="A66" s="20"/>
      <c r="B66" s="24" t="s">
        <v>569</v>
      </c>
      <c r="C66" s="25" t="s">
        <v>802</v>
      </c>
      <c r="D66" s="25" t="s">
        <v>837</v>
      </c>
      <c r="E66" s="28"/>
      <c r="F66" s="20"/>
      <c r="G66" s="20"/>
      <c r="H66" s="20"/>
      <c r="I66" s="20"/>
      <c r="J66" s="20"/>
      <c r="K66" s="20"/>
      <c r="L66" s="20"/>
      <c r="M66" s="20"/>
      <c r="N66" s="20"/>
      <c r="O66" s="20"/>
      <c r="P66" s="20"/>
      <c r="Q66" s="20"/>
      <c r="R66" s="20"/>
      <c r="S66" s="20"/>
      <c r="T66" s="20"/>
      <c r="U66" s="20"/>
      <c r="V66" s="20"/>
      <c r="W66" s="20"/>
      <c r="X66" s="20"/>
      <c r="Y66" s="20"/>
      <c r="Z66" s="20"/>
    </row>
    <row r="67">
      <c r="A67" s="20"/>
      <c r="B67" s="24" t="s">
        <v>569</v>
      </c>
      <c r="C67" s="24" t="s">
        <v>714</v>
      </c>
      <c r="D67" s="25" t="s">
        <v>839</v>
      </c>
      <c r="E67" s="28"/>
      <c r="F67" s="20"/>
      <c r="G67" s="20"/>
      <c r="H67" s="20"/>
      <c r="I67" s="20"/>
      <c r="J67" s="20"/>
      <c r="K67" s="20"/>
      <c r="L67" s="20"/>
      <c r="M67" s="20"/>
      <c r="N67" s="20"/>
      <c r="O67" s="20"/>
      <c r="P67" s="20"/>
      <c r="Q67" s="20"/>
      <c r="R67" s="20"/>
      <c r="S67" s="20"/>
      <c r="T67" s="20"/>
      <c r="U67" s="20"/>
      <c r="V67" s="20"/>
      <c r="W67" s="20"/>
      <c r="X67" s="20"/>
      <c r="Y67" s="20"/>
      <c r="Z67" s="20"/>
    </row>
    <row r="68">
      <c r="A68" s="20"/>
      <c r="B68" s="24" t="s">
        <v>569</v>
      </c>
      <c r="C68" s="24" t="s">
        <v>714</v>
      </c>
      <c r="D68" s="25" t="s">
        <v>840</v>
      </c>
      <c r="E68" s="28"/>
      <c r="F68" s="20"/>
      <c r="G68" s="20"/>
      <c r="H68" s="20"/>
      <c r="I68" s="20"/>
      <c r="J68" s="20"/>
      <c r="K68" s="20"/>
      <c r="L68" s="20"/>
      <c r="M68" s="20"/>
      <c r="N68" s="20"/>
      <c r="O68" s="20"/>
      <c r="P68" s="20"/>
      <c r="Q68" s="20"/>
      <c r="R68" s="20"/>
      <c r="S68" s="20"/>
      <c r="T68" s="20"/>
      <c r="U68" s="20"/>
      <c r="V68" s="20"/>
      <c r="W68" s="20"/>
      <c r="X68" s="20"/>
      <c r="Y68" s="20"/>
      <c r="Z68" s="20"/>
    </row>
    <row r="69">
      <c r="A69" s="20"/>
      <c r="B69" s="24" t="s">
        <v>569</v>
      </c>
      <c r="C69" s="24" t="s">
        <v>714</v>
      </c>
      <c r="D69" s="25" t="s">
        <v>842</v>
      </c>
      <c r="E69" s="28"/>
      <c r="F69" s="20"/>
      <c r="G69" s="20"/>
      <c r="H69" s="20"/>
      <c r="I69" s="20"/>
      <c r="J69" s="20"/>
      <c r="K69" s="20"/>
      <c r="L69" s="20"/>
      <c r="M69" s="20"/>
      <c r="N69" s="20"/>
      <c r="O69" s="20"/>
      <c r="P69" s="20"/>
      <c r="Q69" s="20"/>
      <c r="R69" s="20"/>
      <c r="S69" s="20"/>
      <c r="T69" s="20"/>
      <c r="U69" s="20"/>
      <c r="V69" s="20"/>
      <c r="W69" s="20"/>
      <c r="X69" s="20"/>
      <c r="Y69" s="20"/>
      <c r="Z69" s="20"/>
    </row>
    <row r="70">
      <c r="A70" s="20"/>
      <c r="B70" s="24" t="s">
        <v>569</v>
      </c>
      <c r="C70" s="24" t="s">
        <v>714</v>
      </c>
      <c r="D70" s="25" t="s">
        <v>844</v>
      </c>
      <c r="E70" s="28"/>
      <c r="F70" s="20"/>
      <c r="G70" s="20"/>
      <c r="H70" s="20"/>
      <c r="I70" s="20"/>
      <c r="J70" s="20"/>
      <c r="K70" s="20"/>
      <c r="L70" s="20"/>
      <c r="M70" s="20"/>
      <c r="N70" s="20"/>
      <c r="O70" s="20"/>
      <c r="P70" s="20"/>
      <c r="Q70" s="20"/>
      <c r="R70" s="20"/>
      <c r="S70" s="20"/>
      <c r="T70" s="20"/>
      <c r="U70" s="20"/>
      <c r="V70" s="20"/>
      <c r="W70" s="20"/>
      <c r="X70" s="20"/>
      <c r="Y70" s="20"/>
      <c r="Z70" s="20"/>
    </row>
    <row r="71">
      <c r="A71" s="20"/>
      <c r="B71" s="24" t="s">
        <v>569</v>
      </c>
      <c r="C71" s="24" t="s">
        <v>714</v>
      </c>
      <c r="D71" s="25" t="s">
        <v>845</v>
      </c>
      <c r="E71" s="28"/>
      <c r="F71" s="20"/>
      <c r="G71" s="20"/>
      <c r="H71" s="20"/>
      <c r="I71" s="20"/>
      <c r="J71" s="20"/>
      <c r="K71" s="20"/>
      <c r="L71" s="20"/>
      <c r="M71" s="20"/>
      <c r="N71" s="20"/>
      <c r="O71" s="20"/>
      <c r="P71" s="20"/>
      <c r="Q71" s="20"/>
      <c r="R71" s="20"/>
      <c r="S71" s="20"/>
      <c r="T71" s="20"/>
      <c r="U71" s="20"/>
      <c r="V71" s="20"/>
      <c r="W71" s="20"/>
      <c r="X71" s="20"/>
      <c r="Y71" s="20"/>
      <c r="Z71" s="20"/>
    </row>
    <row r="72">
      <c r="A72" s="20"/>
      <c r="B72" s="24" t="s">
        <v>569</v>
      </c>
      <c r="C72" s="24" t="s">
        <v>714</v>
      </c>
      <c r="D72" s="25" t="s">
        <v>847</v>
      </c>
      <c r="E72" s="28"/>
      <c r="F72" s="20"/>
      <c r="G72" s="20"/>
      <c r="H72" s="20"/>
      <c r="I72" s="20"/>
      <c r="J72" s="20"/>
      <c r="K72" s="20"/>
      <c r="L72" s="20"/>
      <c r="M72" s="20"/>
      <c r="N72" s="20"/>
      <c r="O72" s="20"/>
      <c r="P72" s="20"/>
      <c r="Q72" s="20"/>
      <c r="R72" s="20"/>
      <c r="S72" s="20"/>
      <c r="T72" s="20"/>
      <c r="U72" s="20"/>
      <c r="V72" s="20"/>
      <c r="W72" s="20"/>
      <c r="X72" s="20"/>
      <c r="Y72" s="20"/>
      <c r="Z72" s="20"/>
    </row>
    <row r="73">
      <c r="A73" s="20"/>
      <c r="B73" s="24" t="s">
        <v>569</v>
      </c>
      <c r="C73" s="24" t="s">
        <v>714</v>
      </c>
      <c r="D73" s="25" t="s">
        <v>849</v>
      </c>
      <c r="E73" s="28"/>
      <c r="F73" s="20"/>
      <c r="G73" s="20"/>
      <c r="H73" s="20"/>
      <c r="I73" s="20"/>
      <c r="J73" s="20"/>
      <c r="K73" s="20"/>
      <c r="L73" s="20"/>
      <c r="M73" s="20"/>
      <c r="N73" s="20"/>
      <c r="O73" s="20"/>
      <c r="P73" s="20"/>
      <c r="Q73" s="20"/>
      <c r="R73" s="20"/>
      <c r="S73" s="20"/>
      <c r="T73" s="20"/>
      <c r="U73" s="20"/>
      <c r="V73" s="20"/>
      <c r="W73" s="20"/>
      <c r="X73" s="20"/>
      <c r="Y73" s="20"/>
      <c r="Z73" s="20"/>
    </row>
    <row r="74">
      <c r="A74" s="20"/>
      <c r="B74" s="24" t="s">
        <v>569</v>
      </c>
      <c r="C74" s="24" t="s">
        <v>714</v>
      </c>
      <c r="D74" s="25" t="s">
        <v>851</v>
      </c>
      <c r="E74" s="28"/>
      <c r="F74" s="20"/>
      <c r="G74" s="20"/>
      <c r="H74" s="20"/>
      <c r="I74" s="20"/>
      <c r="J74" s="20"/>
      <c r="K74" s="20"/>
      <c r="L74" s="20"/>
      <c r="M74" s="20"/>
      <c r="N74" s="20"/>
      <c r="O74" s="20"/>
      <c r="P74" s="20"/>
      <c r="Q74" s="20"/>
      <c r="R74" s="20"/>
      <c r="S74" s="20"/>
      <c r="T74" s="20"/>
      <c r="U74" s="20"/>
      <c r="V74" s="20"/>
      <c r="W74" s="20"/>
      <c r="X74" s="20"/>
      <c r="Y74" s="20"/>
      <c r="Z74" s="20"/>
    </row>
    <row r="75">
      <c r="A75" s="20"/>
      <c r="B75" s="24" t="s">
        <v>569</v>
      </c>
      <c r="C75" s="24" t="s">
        <v>714</v>
      </c>
      <c r="D75" s="25" t="s">
        <v>853</v>
      </c>
      <c r="E75" s="28"/>
      <c r="F75" s="20"/>
      <c r="G75" s="20"/>
      <c r="H75" s="20"/>
      <c r="I75" s="20"/>
      <c r="J75" s="20"/>
      <c r="K75" s="20"/>
      <c r="L75" s="20"/>
      <c r="M75" s="20"/>
      <c r="N75" s="20"/>
      <c r="O75" s="20"/>
      <c r="P75" s="20"/>
      <c r="Q75" s="20"/>
      <c r="R75" s="20"/>
      <c r="S75" s="20"/>
      <c r="T75" s="20"/>
      <c r="U75" s="20"/>
      <c r="V75" s="20"/>
      <c r="W75" s="20"/>
      <c r="X75" s="20"/>
      <c r="Y75" s="20"/>
      <c r="Z75" s="20"/>
    </row>
    <row r="76">
      <c r="A76" s="20"/>
      <c r="B76" s="24" t="s">
        <v>569</v>
      </c>
      <c r="C76" s="24" t="s">
        <v>714</v>
      </c>
      <c r="D76" s="25" t="s">
        <v>854</v>
      </c>
      <c r="E76" s="28"/>
      <c r="F76" s="20"/>
      <c r="G76" s="20"/>
      <c r="H76" s="20"/>
      <c r="I76" s="20"/>
      <c r="J76" s="20"/>
      <c r="K76" s="20"/>
      <c r="L76" s="20"/>
      <c r="M76" s="20"/>
      <c r="N76" s="20"/>
      <c r="O76" s="20"/>
      <c r="P76" s="20"/>
      <c r="Q76" s="20"/>
      <c r="R76" s="20"/>
      <c r="S76" s="20"/>
      <c r="T76" s="20"/>
      <c r="U76" s="20"/>
      <c r="V76" s="20"/>
      <c r="W76" s="20"/>
      <c r="X76" s="20"/>
      <c r="Y76" s="20"/>
      <c r="Z76" s="20"/>
    </row>
    <row r="77">
      <c r="A77" s="20"/>
      <c r="B77" s="24" t="s">
        <v>569</v>
      </c>
      <c r="C77" s="24" t="s">
        <v>714</v>
      </c>
      <c r="D77" s="25" t="s">
        <v>855</v>
      </c>
      <c r="E77" s="26" t="s">
        <v>578</v>
      </c>
      <c r="F77" s="20"/>
      <c r="G77" s="20"/>
      <c r="H77" s="20"/>
      <c r="I77" s="20"/>
      <c r="J77" s="20"/>
      <c r="K77" s="20"/>
      <c r="L77" s="20"/>
      <c r="M77" s="20"/>
      <c r="N77" s="20"/>
      <c r="O77" s="20"/>
      <c r="P77" s="20"/>
      <c r="Q77" s="20"/>
      <c r="R77" s="20"/>
      <c r="S77" s="20"/>
      <c r="T77" s="20"/>
      <c r="U77" s="20"/>
      <c r="V77" s="20"/>
      <c r="W77" s="20"/>
      <c r="X77" s="20"/>
      <c r="Y77" s="20"/>
      <c r="Z77" s="20"/>
    </row>
    <row r="78">
      <c r="A78" s="20"/>
      <c r="B78" s="24" t="s">
        <v>569</v>
      </c>
      <c r="C78" s="25" t="s">
        <v>714</v>
      </c>
      <c r="D78" s="25" t="s">
        <v>857</v>
      </c>
      <c r="E78" s="26"/>
      <c r="F78" s="20"/>
      <c r="G78" s="20"/>
      <c r="H78" s="20"/>
      <c r="I78" s="20"/>
      <c r="J78" s="20"/>
      <c r="K78" s="20"/>
      <c r="L78" s="20"/>
      <c r="M78" s="20"/>
      <c r="N78" s="20"/>
      <c r="O78" s="20"/>
      <c r="P78" s="20"/>
      <c r="Q78" s="20"/>
      <c r="R78" s="20"/>
      <c r="S78" s="20"/>
      <c r="T78" s="20"/>
      <c r="U78" s="20"/>
      <c r="V78" s="20"/>
      <c r="W78" s="20"/>
      <c r="X78" s="20"/>
      <c r="Y78" s="20"/>
      <c r="Z78" s="20"/>
    </row>
    <row r="79">
      <c r="A79" s="20"/>
      <c r="B79" s="24" t="s">
        <v>569</v>
      </c>
      <c r="C79" s="25" t="s">
        <v>859</v>
      </c>
      <c r="D79" s="25" t="s">
        <v>860</v>
      </c>
      <c r="E79" s="28"/>
      <c r="F79" s="20"/>
      <c r="G79" s="20"/>
      <c r="H79" s="20"/>
      <c r="I79" s="20"/>
      <c r="J79" s="20"/>
      <c r="K79" s="20"/>
      <c r="L79" s="20"/>
      <c r="M79" s="20"/>
      <c r="N79" s="20"/>
      <c r="O79" s="20"/>
      <c r="P79" s="20"/>
      <c r="Q79" s="20"/>
      <c r="R79" s="20"/>
      <c r="S79" s="20"/>
      <c r="T79" s="20"/>
      <c r="U79" s="20"/>
      <c r="V79" s="20"/>
      <c r="W79" s="20"/>
      <c r="X79" s="20"/>
      <c r="Y79" s="20"/>
      <c r="Z79" s="20"/>
    </row>
    <row r="80">
      <c r="A80" s="20"/>
      <c r="B80" s="24" t="s">
        <v>569</v>
      </c>
      <c r="C80" s="25" t="s">
        <v>859</v>
      </c>
      <c r="D80" s="25" t="s">
        <v>861</v>
      </c>
      <c r="E80" s="28"/>
      <c r="F80" s="20"/>
      <c r="G80" s="20"/>
      <c r="H80" s="20"/>
      <c r="I80" s="20"/>
      <c r="J80" s="20"/>
      <c r="K80" s="20"/>
      <c r="L80" s="20"/>
      <c r="M80" s="20"/>
      <c r="N80" s="20"/>
      <c r="O80" s="20"/>
      <c r="P80" s="20"/>
      <c r="Q80" s="20"/>
      <c r="R80" s="20"/>
      <c r="S80" s="20"/>
      <c r="T80" s="20"/>
      <c r="U80" s="20"/>
      <c r="V80" s="20"/>
      <c r="W80" s="20"/>
      <c r="X80" s="20"/>
      <c r="Y80" s="20"/>
      <c r="Z80" s="20"/>
    </row>
    <row r="81">
      <c r="A81" s="20"/>
      <c r="B81" s="24" t="s">
        <v>569</v>
      </c>
      <c r="C81" s="25" t="s">
        <v>859</v>
      </c>
      <c r="D81" s="25" t="s">
        <v>863</v>
      </c>
      <c r="E81" s="28"/>
      <c r="F81" s="20"/>
      <c r="G81" s="20"/>
      <c r="H81" s="20"/>
      <c r="I81" s="20"/>
      <c r="J81" s="20"/>
      <c r="K81" s="20"/>
      <c r="L81" s="20"/>
      <c r="M81" s="20"/>
      <c r="N81" s="20"/>
      <c r="O81" s="20"/>
      <c r="P81" s="20"/>
      <c r="Q81" s="20"/>
      <c r="R81" s="20"/>
      <c r="S81" s="20"/>
      <c r="T81" s="20"/>
      <c r="U81" s="20"/>
      <c r="V81" s="20"/>
      <c r="W81" s="20"/>
      <c r="X81" s="20"/>
      <c r="Y81" s="20"/>
      <c r="Z81" s="20"/>
    </row>
    <row r="82">
      <c r="A82" s="20"/>
      <c r="B82" s="24" t="s">
        <v>569</v>
      </c>
      <c r="C82" s="25" t="s">
        <v>859</v>
      </c>
      <c r="D82" s="25" t="s">
        <v>864</v>
      </c>
      <c r="E82" s="28"/>
      <c r="F82" s="20"/>
      <c r="G82" s="20"/>
      <c r="H82" s="20"/>
      <c r="I82" s="20"/>
      <c r="J82" s="20"/>
      <c r="K82" s="20"/>
      <c r="L82" s="20"/>
      <c r="M82" s="20"/>
      <c r="N82" s="20"/>
      <c r="O82" s="20"/>
      <c r="P82" s="20"/>
      <c r="Q82" s="20"/>
      <c r="R82" s="20"/>
      <c r="S82" s="20"/>
      <c r="T82" s="20"/>
      <c r="U82" s="20"/>
      <c r="V82" s="20"/>
      <c r="W82" s="20"/>
      <c r="X82" s="20"/>
      <c r="Y82" s="20"/>
      <c r="Z82" s="20"/>
    </row>
    <row r="83">
      <c r="A83" s="20"/>
      <c r="B83" s="24" t="s">
        <v>569</v>
      </c>
      <c r="C83" s="25" t="s">
        <v>859</v>
      </c>
      <c r="D83" s="25" t="s">
        <v>866</v>
      </c>
      <c r="E83" s="28"/>
      <c r="F83" s="20"/>
      <c r="G83" s="20"/>
      <c r="H83" s="20"/>
      <c r="I83" s="20"/>
      <c r="J83" s="20"/>
      <c r="K83" s="20"/>
      <c r="L83" s="20"/>
      <c r="M83" s="20"/>
      <c r="N83" s="20"/>
      <c r="O83" s="20"/>
      <c r="P83" s="20"/>
      <c r="Q83" s="20"/>
      <c r="R83" s="20"/>
      <c r="S83" s="20"/>
      <c r="T83" s="20"/>
      <c r="U83" s="20"/>
      <c r="V83" s="20"/>
      <c r="W83" s="20"/>
      <c r="X83" s="20"/>
      <c r="Y83" s="20"/>
      <c r="Z83" s="20"/>
    </row>
    <row r="84">
      <c r="A84" s="20"/>
      <c r="B84" s="24" t="s">
        <v>569</v>
      </c>
      <c r="C84" s="25" t="s">
        <v>867</v>
      </c>
      <c r="D84" s="25" t="s">
        <v>868</v>
      </c>
      <c r="E84" s="28"/>
      <c r="F84" s="20"/>
      <c r="G84" s="20"/>
      <c r="H84" s="20"/>
      <c r="I84" s="20"/>
      <c r="J84" s="20"/>
      <c r="K84" s="20"/>
      <c r="L84" s="20"/>
      <c r="M84" s="20"/>
      <c r="N84" s="20"/>
      <c r="O84" s="20"/>
      <c r="P84" s="20"/>
      <c r="Q84" s="20"/>
      <c r="R84" s="20"/>
      <c r="S84" s="20"/>
      <c r="T84" s="20"/>
      <c r="U84" s="20"/>
      <c r="V84" s="20"/>
      <c r="W84" s="20"/>
      <c r="X84" s="20"/>
      <c r="Y84" s="20"/>
      <c r="Z84" s="20"/>
    </row>
    <row r="85">
      <c r="A85" s="20"/>
      <c r="B85" s="24" t="s">
        <v>569</v>
      </c>
      <c r="C85" s="25" t="s">
        <v>867</v>
      </c>
      <c r="D85" s="25" t="s">
        <v>870</v>
      </c>
      <c r="E85" s="28"/>
      <c r="F85" s="20"/>
      <c r="G85" s="20"/>
      <c r="H85" s="20"/>
      <c r="I85" s="20"/>
      <c r="J85" s="20"/>
      <c r="K85" s="20"/>
      <c r="L85" s="20"/>
      <c r="M85" s="20"/>
      <c r="N85" s="20"/>
      <c r="O85" s="20"/>
      <c r="P85" s="20"/>
      <c r="Q85" s="20"/>
      <c r="R85" s="20"/>
      <c r="S85" s="20"/>
      <c r="T85" s="20"/>
      <c r="U85" s="20"/>
      <c r="V85" s="20"/>
      <c r="W85" s="20"/>
      <c r="X85" s="20"/>
      <c r="Y85" s="20"/>
      <c r="Z85" s="20"/>
    </row>
    <row r="86">
      <c r="A86" s="20"/>
      <c r="B86" s="24" t="s">
        <v>569</v>
      </c>
      <c r="C86" s="25" t="s">
        <v>867</v>
      </c>
      <c r="D86" s="25" t="s">
        <v>871</v>
      </c>
      <c r="E86" s="28"/>
      <c r="F86" s="20"/>
      <c r="G86" s="20"/>
      <c r="H86" s="20"/>
      <c r="I86" s="20"/>
      <c r="J86" s="20"/>
      <c r="K86" s="20"/>
      <c r="L86" s="20"/>
      <c r="M86" s="20"/>
      <c r="N86" s="20"/>
      <c r="O86" s="20"/>
      <c r="P86" s="20"/>
      <c r="Q86" s="20"/>
      <c r="R86" s="20"/>
      <c r="S86" s="20"/>
      <c r="T86" s="20"/>
      <c r="U86" s="20"/>
      <c r="V86" s="20"/>
      <c r="W86" s="20"/>
      <c r="X86" s="20"/>
      <c r="Y86" s="20"/>
      <c r="Z86" s="20"/>
    </row>
    <row r="87">
      <c r="A87" s="20"/>
      <c r="B87" s="24" t="s">
        <v>569</v>
      </c>
      <c r="C87" s="25" t="s">
        <v>867</v>
      </c>
      <c r="D87" s="25" t="s">
        <v>873</v>
      </c>
      <c r="E87" s="28"/>
      <c r="F87" s="20"/>
      <c r="G87" s="20"/>
      <c r="H87" s="20"/>
      <c r="I87" s="20"/>
      <c r="J87" s="20"/>
      <c r="K87" s="20"/>
      <c r="L87" s="20"/>
      <c r="M87" s="20"/>
      <c r="N87" s="20"/>
      <c r="O87" s="20"/>
      <c r="P87" s="20"/>
      <c r="Q87" s="20"/>
      <c r="R87" s="20"/>
      <c r="S87" s="20"/>
      <c r="T87" s="20"/>
      <c r="U87" s="20"/>
      <c r="V87" s="20"/>
      <c r="W87" s="20"/>
      <c r="X87" s="20"/>
      <c r="Y87" s="20"/>
      <c r="Z87" s="20"/>
    </row>
    <row r="88">
      <c r="A88" s="20"/>
      <c r="B88" s="24" t="s">
        <v>569</v>
      </c>
      <c r="C88" s="25" t="s">
        <v>867</v>
      </c>
      <c r="D88" s="25" t="s">
        <v>875</v>
      </c>
      <c r="E88" s="28"/>
      <c r="F88" s="20"/>
      <c r="G88" s="20"/>
      <c r="H88" s="20"/>
      <c r="I88" s="20"/>
      <c r="J88" s="20"/>
      <c r="K88" s="20"/>
      <c r="L88" s="20"/>
      <c r="M88" s="20"/>
      <c r="N88" s="20"/>
      <c r="O88" s="20"/>
      <c r="P88" s="20"/>
      <c r="Q88" s="20"/>
      <c r="R88" s="20"/>
      <c r="S88" s="20"/>
      <c r="T88" s="20"/>
      <c r="U88" s="20"/>
      <c r="V88" s="20"/>
      <c r="W88" s="20"/>
      <c r="X88" s="20"/>
      <c r="Y88" s="20"/>
      <c r="Z88" s="20"/>
    </row>
    <row r="89">
      <c r="A89" s="20"/>
      <c r="B89" s="24" t="s">
        <v>569</v>
      </c>
      <c r="C89" s="25" t="s">
        <v>867</v>
      </c>
      <c r="D89" s="25" t="s">
        <v>876</v>
      </c>
      <c r="E89" s="28"/>
      <c r="F89" s="20"/>
      <c r="G89" s="20"/>
      <c r="H89" s="20"/>
      <c r="I89" s="20"/>
      <c r="J89" s="20"/>
      <c r="K89" s="20"/>
      <c r="L89" s="20"/>
      <c r="M89" s="20"/>
      <c r="N89" s="20"/>
      <c r="O89" s="20"/>
      <c r="P89" s="20"/>
      <c r="Q89" s="20"/>
      <c r="R89" s="20"/>
      <c r="S89" s="20"/>
      <c r="T89" s="20"/>
      <c r="U89" s="20"/>
      <c r="V89" s="20"/>
      <c r="W89" s="20"/>
      <c r="X89" s="20"/>
      <c r="Y89" s="20"/>
      <c r="Z89" s="20"/>
    </row>
    <row r="90">
      <c r="A90" s="20"/>
      <c r="B90" s="24" t="s">
        <v>569</v>
      </c>
      <c r="C90" s="25" t="s">
        <v>867</v>
      </c>
      <c r="D90" s="25" t="s">
        <v>878</v>
      </c>
      <c r="E90" s="28"/>
      <c r="F90" s="20"/>
      <c r="G90" s="20"/>
      <c r="H90" s="20"/>
      <c r="I90" s="20"/>
      <c r="J90" s="20"/>
      <c r="K90" s="20"/>
      <c r="L90" s="20"/>
      <c r="M90" s="20"/>
      <c r="N90" s="20"/>
      <c r="O90" s="20"/>
      <c r="P90" s="20"/>
      <c r="Q90" s="20"/>
      <c r="R90" s="20"/>
      <c r="S90" s="20"/>
      <c r="T90" s="20"/>
      <c r="U90" s="20"/>
      <c r="V90" s="20"/>
      <c r="W90" s="20"/>
      <c r="X90" s="20"/>
      <c r="Y90" s="20"/>
      <c r="Z90" s="20"/>
    </row>
    <row r="91">
      <c r="A91" s="20"/>
      <c r="B91" s="24" t="s">
        <v>569</v>
      </c>
      <c r="C91" s="25" t="s">
        <v>880</v>
      </c>
      <c r="D91" s="25" t="s">
        <v>100</v>
      </c>
      <c r="E91" s="26" t="s">
        <v>578</v>
      </c>
      <c r="F91" s="20"/>
      <c r="G91" s="20"/>
      <c r="H91" s="20"/>
      <c r="I91" s="20"/>
      <c r="J91" s="20"/>
      <c r="K91" s="20"/>
      <c r="L91" s="20"/>
      <c r="M91" s="20"/>
      <c r="N91" s="20"/>
      <c r="O91" s="20"/>
      <c r="P91" s="20"/>
      <c r="Q91" s="20"/>
      <c r="R91" s="20"/>
      <c r="S91" s="20"/>
      <c r="T91" s="20"/>
      <c r="U91" s="20"/>
      <c r="V91" s="20"/>
      <c r="W91" s="20"/>
      <c r="X91" s="20"/>
      <c r="Y91" s="20"/>
      <c r="Z91" s="20"/>
    </row>
    <row r="92">
      <c r="A92" s="20"/>
      <c r="B92" s="24" t="s">
        <v>569</v>
      </c>
      <c r="C92" s="25" t="s">
        <v>880</v>
      </c>
      <c r="D92" s="25" t="s">
        <v>882</v>
      </c>
      <c r="E92" s="26" t="s">
        <v>578</v>
      </c>
      <c r="F92" s="20"/>
      <c r="G92" s="20"/>
      <c r="H92" s="20"/>
      <c r="I92" s="20"/>
      <c r="J92" s="20"/>
      <c r="K92" s="20"/>
      <c r="L92" s="20"/>
      <c r="M92" s="20"/>
      <c r="N92" s="20"/>
      <c r="O92" s="20"/>
      <c r="P92" s="20"/>
      <c r="Q92" s="20"/>
      <c r="R92" s="20"/>
      <c r="S92" s="20"/>
      <c r="T92" s="20"/>
      <c r="U92" s="20"/>
      <c r="V92" s="20"/>
      <c r="W92" s="20"/>
      <c r="X92" s="20"/>
      <c r="Y92" s="20"/>
      <c r="Z92" s="20"/>
    </row>
    <row r="93">
      <c r="A93" s="20"/>
      <c r="B93" s="24" t="s">
        <v>569</v>
      </c>
      <c r="C93" s="25" t="s">
        <v>880</v>
      </c>
      <c r="D93" s="25" t="s">
        <v>75</v>
      </c>
      <c r="E93" s="26" t="s">
        <v>578</v>
      </c>
      <c r="F93" s="20"/>
      <c r="G93" s="20"/>
      <c r="H93" s="20"/>
      <c r="I93" s="20"/>
      <c r="J93" s="20"/>
      <c r="K93" s="20"/>
      <c r="L93" s="20"/>
      <c r="M93" s="20"/>
      <c r="N93" s="20"/>
      <c r="O93" s="20"/>
      <c r="P93" s="20"/>
      <c r="Q93" s="20"/>
      <c r="R93" s="20"/>
      <c r="S93" s="20"/>
      <c r="T93" s="20"/>
      <c r="U93" s="20"/>
      <c r="V93" s="20"/>
      <c r="W93" s="20"/>
      <c r="X93" s="20"/>
      <c r="Y93" s="20"/>
      <c r="Z93" s="20"/>
    </row>
    <row r="94">
      <c r="A94" s="20"/>
      <c r="B94" s="24" t="s">
        <v>569</v>
      </c>
      <c r="C94" s="25" t="s">
        <v>880</v>
      </c>
      <c r="D94" s="25" t="s">
        <v>83</v>
      </c>
      <c r="E94" s="26" t="s">
        <v>578</v>
      </c>
      <c r="F94" s="20"/>
      <c r="G94" s="20"/>
      <c r="H94" s="20"/>
      <c r="I94" s="20"/>
      <c r="J94" s="20"/>
      <c r="K94" s="20"/>
      <c r="L94" s="20"/>
      <c r="M94" s="20"/>
      <c r="N94" s="20"/>
      <c r="O94" s="20"/>
      <c r="P94" s="20"/>
      <c r="Q94" s="20"/>
      <c r="R94" s="20"/>
      <c r="S94" s="20"/>
      <c r="T94" s="20"/>
      <c r="U94" s="20"/>
      <c r="V94" s="20"/>
      <c r="W94" s="20"/>
      <c r="X94" s="20"/>
      <c r="Y94" s="20"/>
      <c r="Z94" s="20"/>
    </row>
    <row r="95">
      <c r="A95" s="20"/>
      <c r="B95" s="24" t="s">
        <v>569</v>
      </c>
      <c r="C95" s="25" t="s">
        <v>884</v>
      </c>
      <c r="D95" s="25" t="s">
        <v>885</v>
      </c>
      <c r="E95" s="26"/>
      <c r="F95" s="20"/>
      <c r="G95" s="20"/>
      <c r="H95" s="20"/>
      <c r="I95" s="20"/>
      <c r="J95" s="20"/>
      <c r="K95" s="20"/>
      <c r="L95" s="20"/>
      <c r="M95" s="20"/>
      <c r="N95" s="20"/>
      <c r="O95" s="20"/>
      <c r="P95" s="20"/>
      <c r="Q95" s="20"/>
      <c r="R95" s="20"/>
      <c r="S95" s="20"/>
      <c r="T95" s="20"/>
      <c r="U95" s="20"/>
      <c r="V95" s="20"/>
      <c r="W95" s="20"/>
      <c r="X95" s="20"/>
      <c r="Y95" s="20"/>
      <c r="Z95" s="20"/>
    </row>
    <row r="96">
      <c r="A96" s="20"/>
      <c r="B96" s="24" t="s">
        <v>569</v>
      </c>
      <c r="C96" s="25" t="s">
        <v>884</v>
      </c>
      <c r="D96" s="25" t="s">
        <v>887</v>
      </c>
      <c r="E96" s="28"/>
      <c r="F96" s="20"/>
      <c r="G96" s="20"/>
      <c r="H96" s="20"/>
      <c r="I96" s="20"/>
      <c r="J96" s="20"/>
      <c r="K96" s="20"/>
      <c r="L96" s="20"/>
      <c r="M96" s="20"/>
      <c r="N96" s="20"/>
      <c r="O96" s="20"/>
      <c r="P96" s="20"/>
      <c r="Q96" s="20"/>
      <c r="R96" s="20"/>
      <c r="S96" s="20"/>
      <c r="T96" s="20"/>
      <c r="U96" s="20"/>
      <c r="V96" s="20"/>
      <c r="W96" s="20"/>
      <c r="X96" s="20"/>
      <c r="Y96" s="20"/>
      <c r="Z96" s="20"/>
    </row>
    <row r="97">
      <c r="A97" s="20"/>
      <c r="B97" s="24" t="s">
        <v>569</v>
      </c>
      <c r="C97" s="25" t="s">
        <v>884</v>
      </c>
      <c r="D97" s="25" t="s">
        <v>888</v>
      </c>
      <c r="E97" s="28"/>
      <c r="F97" s="20"/>
      <c r="G97" s="20"/>
      <c r="H97" s="20"/>
      <c r="I97" s="20"/>
      <c r="J97" s="20"/>
      <c r="K97" s="20"/>
      <c r="L97" s="20"/>
      <c r="M97" s="20"/>
      <c r="N97" s="20"/>
      <c r="O97" s="20"/>
      <c r="P97" s="20"/>
      <c r="Q97" s="20"/>
      <c r="R97" s="20"/>
      <c r="S97" s="20"/>
      <c r="T97" s="20"/>
      <c r="U97" s="20"/>
      <c r="V97" s="20"/>
      <c r="W97" s="20"/>
      <c r="X97" s="20"/>
      <c r="Y97" s="20"/>
      <c r="Z97" s="20"/>
    </row>
    <row r="98">
      <c r="A98" s="20"/>
      <c r="B98" s="24" t="s">
        <v>569</v>
      </c>
      <c r="C98" s="25" t="s">
        <v>884</v>
      </c>
      <c r="D98" s="25" t="s">
        <v>889</v>
      </c>
      <c r="E98" s="28"/>
      <c r="F98" s="20"/>
      <c r="G98" s="20"/>
      <c r="H98" s="20"/>
      <c r="I98" s="20"/>
      <c r="J98" s="20"/>
      <c r="K98" s="20"/>
      <c r="L98" s="20"/>
      <c r="M98" s="20"/>
      <c r="N98" s="20"/>
      <c r="O98" s="20"/>
      <c r="P98" s="20"/>
      <c r="Q98" s="20"/>
      <c r="R98" s="20"/>
      <c r="S98" s="20"/>
      <c r="T98" s="20"/>
      <c r="U98" s="20"/>
      <c r="V98" s="20"/>
      <c r="W98" s="20"/>
      <c r="X98" s="20"/>
      <c r="Y98" s="20"/>
      <c r="Z98" s="20"/>
    </row>
    <row r="99">
      <c r="A99" s="20"/>
      <c r="B99" s="24" t="s">
        <v>569</v>
      </c>
      <c r="C99" s="25" t="s">
        <v>884</v>
      </c>
      <c r="D99" s="25" t="s">
        <v>891</v>
      </c>
      <c r="E99" s="28"/>
      <c r="F99" s="20"/>
      <c r="G99" s="20"/>
      <c r="H99" s="20"/>
      <c r="I99" s="20"/>
      <c r="J99" s="20"/>
      <c r="K99" s="20"/>
      <c r="L99" s="20"/>
      <c r="M99" s="20"/>
      <c r="N99" s="20"/>
      <c r="O99" s="20"/>
      <c r="P99" s="20"/>
      <c r="Q99" s="20"/>
      <c r="R99" s="20"/>
      <c r="S99" s="20"/>
      <c r="T99" s="20"/>
      <c r="U99" s="20"/>
      <c r="V99" s="20"/>
      <c r="W99" s="20"/>
      <c r="X99" s="20"/>
      <c r="Y99" s="20"/>
      <c r="Z99" s="20"/>
    </row>
    <row r="100">
      <c r="A100" s="20"/>
      <c r="B100" s="24" t="s">
        <v>569</v>
      </c>
      <c r="C100" s="25" t="s">
        <v>884</v>
      </c>
      <c r="D100" s="25" t="s">
        <v>892</v>
      </c>
      <c r="E100" s="28"/>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4" t="s">
        <v>569</v>
      </c>
      <c r="C101" s="25" t="s">
        <v>884</v>
      </c>
      <c r="D101" s="25" t="s">
        <v>894</v>
      </c>
      <c r="E101" s="28"/>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4" t="s">
        <v>569</v>
      </c>
      <c r="C102" s="25" t="s">
        <v>884</v>
      </c>
      <c r="D102" s="25" t="s">
        <v>896</v>
      </c>
      <c r="E102" s="28"/>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4" t="s">
        <v>569</v>
      </c>
      <c r="C103" s="25" t="s">
        <v>884</v>
      </c>
      <c r="D103" s="25" t="s">
        <v>898</v>
      </c>
      <c r="E103" s="28"/>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4" t="s">
        <v>569</v>
      </c>
      <c r="C104" s="25" t="s">
        <v>884</v>
      </c>
      <c r="D104" s="25" t="s">
        <v>899</v>
      </c>
      <c r="E104" s="28"/>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4" t="s">
        <v>569</v>
      </c>
      <c r="C105" s="25" t="s">
        <v>884</v>
      </c>
      <c r="D105" s="25" t="s">
        <v>900</v>
      </c>
      <c r="E105" s="28"/>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4" t="s">
        <v>569</v>
      </c>
      <c r="C106" s="25" t="s">
        <v>884</v>
      </c>
      <c r="D106" s="25" t="s">
        <v>901</v>
      </c>
      <c r="E106" s="28"/>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4" t="s">
        <v>569</v>
      </c>
      <c r="C107" s="25" t="s">
        <v>884</v>
      </c>
      <c r="D107" s="25" t="s">
        <v>902</v>
      </c>
      <c r="E107" s="28"/>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4" t="s">
        <v>569</v>
      </c>
      <c r="C108" s="25" t="s">
        <v>884</v>
      </c>
      <c r="D108" s="25" t="s">
        <v>904</v>
      </c>
      <c r="E108" s="28"/>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4" t="s">
        <v>569</v>
      </c>
      <c r="C109" s="25" t="s">
        <v>884</v>
      </c>
      <c r="D109" s="25" t="s">
        <v>905</v>
      </c>
      <c r="E109" s="28"/>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4" t="s">
        <v>569</v>
      </c>
      <c r="C110" s="25" t="s">
        <v>884</v>
      </c>
      <c r="D110" s="25" t="s">
        <v>907</v>
      </c>
      <c r="E110" s="28"/>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4" t="s">
        <v>569</v>
      </c>
      <c r="C111" s="25" t="s">
        <v>884</v>
      </c>
      <c r="D111" s="25" t="s">
        <v>908</v>
      </c>
      <c r="E111" s="28"/>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4" t="s">
        <v>569</v>
      </c>
      <c r="C112" s="25" t="s">
        <v>884</v>
      </c>
      <c r="D112" s="25" t="s">
        <v>910</v>
      </c>
      <c r="E112" s="28"/>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4" t="s">
        <v>569</v>
      </c>
      <c r="C113" s="25" t="s">
        <v>884</v>
      </c>
      <c r="D113" s="25" t="s">
        <v>911</v>
      </c>
      <c r="E113" s="28"/>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4" t="s">
        <v>569</v>
      </c>
      <c r="C114" s="25" t="s">
        <v>884</v>
      </c>
      <c r="D114" s="25" t="s">
        <v>913</v>
      </c>
      <c r="E114" s="28"/>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4" t="s">
        <v>569</v>
      </c>
      <c r="C115" s="25" t="s">
        <v>884</v>
      </c>
      <c r="D115" s="25" t="s">
        <v>914</v>
      </c>
      <c r="E115" s="28"/>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4" t="s">
        <v>569</v>
      </c>
      <c r="C116" s="25" t="s">
        <v>884</v>
      </c>
      <c r="D116" s="36" t="s">
        <v>916</v>
      </c>
      <c r="E116" s="28"/>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4" t="s">
        <v>569</v>
      </c>
      <c r="C117" s="25" t="s">
        <v>884</v>
      </c>
      <c r="D117" s="25" t="s">
        <v>918</v>
      </c>
      <c r="E117" s="28"/>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4" t="s">
        <v>569</v>
      </c>
      <c r="C118" s="25" t="s">
        <v>884</v>
      </c>
      <c r="D118" s="25" t="s">
        <v>920</v>
      </c>
      <c r="E118" s="28"/>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4" t="s">
        <v>569</v>
      </c>
      <c r="C119" s="25" t="s">
        <v>884</v>
      </c>
      <c r="D119" s="25" t="s">
        <v>921</v>
      </c>
      <c r="E119" s="28"/>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4" t="s">
        <v>569</v>
      </c>
      <c r="C120" s="25" t="s">
        <v>884</v>
      </c>
      <c r="D120" s="25" t="s">
        <v>922</v>
      </c>
      <c r="E120" s="28"/>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4" t="s">
        <v>569</v>
      </c>
      <c r="C121" s="25" t="s">
        <v>925</v>
      </c>
      <c r="D121" s="25" t="s">
        <v>926</v>
      </c>
      <c r="E121" s="28"/>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4" t="s">
        <v>569</v>
      </c>
      <c r="C122" s="25" t="s">
        <v>925</v>
      </c>
      <c r="D122" s="25" t="s">
        <v>927</v>
      </c>
      <c r="E122" s="28"/>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4" t="s">
        <v>569</v>
      </c>
      <c r="C123" s="25" t="s">
        <v>925</v>
      </c>
      <c r="D123" s="25" t="s">
        <v>929</v>
      </c>
      <c r="E123" s="28"/>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4" t="s">
        <v>569</v>
      </c>
      <c r="C124" s="25" t="s">
        <v>925</v>
      </c>
      <c r="D124" s="25" t="s">
        <v>930</v>
      </c>
      <c r="E124" s="28"/>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4" t="s">
        <v>569</v>
      </c>
      <c r="C125" s="25" t="s">
        <v>925</v>
      </c>
      <c r="D125" s="25" t="s">
        <v>932</v>
      </c>
      <c r="E125" s="28"/>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4" t="s">
        <v>569</v>
      </c>
      <c r="C126" s="25" t="s">
        <v>925</v>
      </c>
      <c r="D126" s="25" t="s">
        <v>933</v>
      </c>
      <c r="E126" s="28"/>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4" t="s">
        <v>569</v>
      </c>
      <c r="C127" s="25" t="s">
        <v>925</v>
      </c>
      <c r="D127" s="25" t="s">
        <v>935</v>
      </c>
      <c r="E127" s="28"/>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4" t="s">
        <v>569</v>
      </c>
      <c r="C128" s="25" t="s">
        <v>925</v>
      </c>
      <c r="D128" s="25" t="s">
        <v>937</v>
      </c>
      <c r="E128" s="28"/>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4" t="s">
        <v>569</v>
      </c>
      <c r="C129" s="25" t="s">
        <v>925</v>
      </c>
      <c r="D129" s="25" t="s">
        <v>938</v>
      </c>
      <c r="E129" s="28"/>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4" t="s">
        <v>569</v>
      </c>
      <c r="C130" s="25" t="s">
        <v>925</v>
      </c>
      <c r="D130" s="25" t="s">
        <v>940</v>
      </c>
      <c r="E130" s="28"/>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4" t="s">
        <v>569</v>
      </c>
      <c r="C131" s="25" t="s">
        <v>925</v>
      </c>
      <c r="D131" s="25" t="s">
        <v>942</v>
      </c>
      <c r="E131" s="28"/>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4" t="s">
        <v>569</v>
      </c>
      <c r="C132" s="25" t="s">
        <v>925</v>
      </c>
      <c r="D132" s="25" t="s">
        <v>943</v>
      </c>
      <c r="E132" s="28"/>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4" t="s">
        <v>569</v>
      </c>
      <c r="C133" s="25" t="s">
        <v>925</v>
      </c>
      <c r="D133" s="25" t="s">
        <v>945</v>
      </c>
      <c r="E133" s="28"/>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4" t="s">
        <v>569</v>
      </c>
      <c r="C134" s="25" t="s">
        <v>925</v>
      </c>
      <c r="D134" s="25" t="s">
        <v>946</v>
      </c>
      <c r="E134" s="28"/>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4" t="s">
        <v>569</v>
      </c>
      <c r="C135" s="25" t="s">
        <v>925</v>
      </c>
      <c r="D135" s="25" t="s">
        <v>947</v>
      </c>
      <c r="E135" s="28"/>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4" t="s">
        <v>569</v>
      </c>
      <c r="C136" s="25" t="s">
        <v>925</v>
      </c>
      <c r="D136" s="25" t="s">
        <v>949</v>
      </c>
      <c r="E136" s="28"/>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4" t="s">
        <v>569</v>
      </c>
      <c r="C137" s="25" t="s">
        <v>925</v>
      </c>
      <c r="D137" s="25" t="s">
        <v>951</v>
      </c>
      <c r="E137" s="28"/>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4" t="s">
        <v>569</v>
      </c>
      <c r="C138" s="25" t="s">
        <v>925</v>
      </c>
      <c r="D138" s="25" t="s">
        <v>953</v>
      </c>
      <c r="E138" s="28"/>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4" t="s">
        <v>569</v>
      </c>
      <c r="C139" s="25" t="s">
        <v>925</v>
      </c>
      <c r="D139" s="25" t="s">
        <v>955</v>
      </c>
      <c r="E139" s="28"/>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4" t="s">
        <v>569</v>
      </c>
      <c r="C140" s="25" t="s">
        <v>925</v>
      </c>
      <c r="D140" s="25" t="s">
        <v>956</v>
      </c>
      <c r="E140" s="28"/>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4" t="s">
        <v>569</v>
      </c>
      <c r="C141" s="25" t="s">
        <v>925</v>
      </c>
      <c r="D141" s="25" t="s">
        <v>959</v>
      </c>
      <c r="E141" s="28"/>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4" t="s">
        <v>569</v>
      </c>
      <c r="C142" s="25" t="s">
        <v>925</v>
      </c>
      <c r="D142" s="25" t="s">
        <v>961</v>
      </c>
      <c r="E142" s="28"/>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4" t="s">
        <v>569</v>
      </c>
      <c r="C143" s="25" t="s">
        <v>925</v>
      </c>
      <c r="D143" s="25" t="s">
        <v>962</v>
      </c>
      <c r="E143" s="28"/>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4" t="s">
        <v>569</v>
      </c>
      <c r="C144" s="25" t="s">
        <v>964</v>
      </c>
      <c r="D144" s="25" t="s">
        <v>965</v>
      </c>
      <c r="E144" s="28"/>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4" t="s">
        <v>569</v>
      </c>
      <c r="C145" s="25" t="s">
        <v>964</v>
      </c>
      <c r="D145" s="25" t="s">
        <v>966</v>
      </c>
      <c r="E145" s="28"/>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4" t="s">
        <v>569</v>
      </c>
      <c r="C146" s="25" t="s">
        <v>964</v>
      </c>
      <c r="D146" s="25" t="s">
        <v>968</v>
      </c>
      <c r="E146" s="28"/>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4" t="s">
        <v>569</v>
      </c>
      <c r="C147" s="25" t="s">
        <v>964</v>
      </c>
      <c r="D147" s="25" t="s">
        <v>969</v>
      </c>
      <c r="E147" s="28"/>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4" t="s">
        <v>569</v>
      </c>
      <c r="C148" s="25" t="s">
        <v>964</v>
      </c>
      <c r="D148" s="25" t="s">
        <v>971</v>
      </c>
      <c r="E148" s="28"/>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4" t="s">
        <v>569</v>
      </c>
      <c r="C149" s="25" t="s">
        <v>964</v>
      </c>
      <c r="D149" s="25" t="s">
        <v>972</v>
      </c>
      <c r="E149" s="28"/>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4" t="s">
        <v>569</v>
      </c>
      <c r="C150" s="25" t="s">
        <v>964</v>
      </c>
      <c r="D150" s="25" t="s">
        <v>973</v>
      </c>
      <c r="E150" s="28"/>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4" t="s">
        <v>569</v>
      </c>
      <c r="C151" s="25" t="s">
        <v>975</v>
      </c>
      <c r="D151" s="25" t="s">
        <v>976</v>
      </c>
      <c r="E151" s="28"/>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4" t="s">
        <v>569</v>
      </c>
      <c r="C152" s="25" t="s">
        <v>975</v>
      </c>
      <c r="D152" s="25" t="s">
        <v>977</v>
      </c>
      <c r="E152" s="28"/>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4" t="s">
        <v>569</v>
      </c>
      <c r="C153" s="25" t="s">
        <v>975</v>
      </c>
      <c r="D153" s="25" t="s">
        <v>979</v>
      </c>
      <c r="E153" s="28"/>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4" t="s">
        <v>569</v>
      </c>
      <c r="C154" s="25" t="s">
        <v>975</v>
      </c>
      <c r="D154" s="25" t="s">
        <v>980</v>
      </c>
      <c r="E154" s="28"/>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4" t="s">
        <v>569</v>
      </c>
      <c r="C155" s="25" t="s">
        <v>975</v>
      </c>
      <c r="D155" s="25" t="s">
        <v>982</v>
      </c>
      <c r="E155" s="28"/>
      <c r="F155" s="20"/>
      <c r="G155" s="20"/>
      <c r="H155" s="29"/>
      <c r="I155" s="20"/>
      <c r="J155" s="20"/>
      <c r="K155" s="20"/>
      <c r="L155" s="20"/>
      <c r="M155" s="20"/>
      <c r="N155" s="20"/>
      <c r="O155" s="20"/>
      <c r="P155" s="20"/>
      <c r="Q155" s="20"/>
      <c r="R155" s="20"/>
      <c r="S155" s="20"/>
      <c r="T155" s="20"/>
      <c r="U155" s="20"/>
      <c r="V155" s="20"/>
      <c r="W155" s="20"/>
      <c r="X155" s="20"/>
      <c r="Y155" s="20"/>
      <c r="Z155" s="20"/>
    </row>
    <row r="156">
      <c r="A156" s="20"/>
      <c r="B156" s="24" t="s">
        <v>569</v>
      </c>
      <c r="C156" s="25" t="s">
        <v>975</v>
      </c>
      <c r="D156" s="25" t="s">
        <v>983</v>
      </c>
      <c r="E156" s="28"/>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4" t="s">
        <v>569</v>
      </c>
      <c r="C157" s="25" t="s">
        <v>975</v>
      </c>
      <c r="D157" s="25" t="s">
        <v>985</v>
      </c>
      <c r="E157" s="28"/>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4" t="s">
        <v>569</v>
      </c>
      <c r="C158" s="25" t="s">
        <v>975</v>
      </c>
      <c r="D158" s="25" t="s">
        <v>986</v>
      </c>
      <c r="E158" s="28"/>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4" t="s">
        <v>569</v>
      </c>
      <c r="C159" s="25" t="s">
        <v>975</v>
      </c>
      <c r="D159" s="25" t="s">
        <v>987</v>
      </c>
      <c r="E159" s="28"/>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4" t="s">
        <v>569</v>
      </c>
      <c r="C160" s="25" t="s">
        <v>975</v>
      </c>
      <c r="D160" s="25" t="s">
        <v>989</v>
      </c>
      <c r="E160" s="28"/>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4" t="s">
        <v>569</v>
      </c>
      <c r="C161" s="25" t="s">
        <v>975</v>
      </c>
      <c r="D161" s="25" t="s">
        <v>990</v>
      </c>
      <c r="E161" s="28"/>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4" t="s">
        <v>569</v>
      </c>
      <c r="C162" s="25" t="s">
        <v>975</v>
      </c>
      <c r="D162" s="24" t="s">
        <v>992</v>
      </c>
      <c r="E162" s="28"/>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4" t="s">
        <v>569</v>
      </c>
      <c r="C163" s="25" t="s">
        <v>975</v>
      </c>
      <c r="D163" s="25" t="s">
        <v>993</v>
      </c>
      <c r="E163" s="28"/>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4" t="s">
        <v>569</v>
      </c>
      <c r="C164" s="25" t="s">
        <v>975</v>
      </c>
      <c r="D164" s="25" t="s">
        <v>995</v>
      </c>
      <c r="E164" s="28"/>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4" t="s">
        <v>569</v>
      </c>
      <c r="C165" s="25" t="s">
        <v>975</v>
      </c>
      <c r="D165" s="25" t="s">
        <v>996</v>
      </c>
      <c r="E165" s="28"/>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4" t="s">
        <v>569</v>
      </c>
      <c r="C166" s="25" t="s">
        <v>975</v>
      </c>
      <c r="D166" s="25" t="s">
        <v>998</v>
      </c>
      <c r="E166" s="28"/>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4" t="s">
        <v>569</v>
      </c>
      <c r="C167" s="25" t="s">
        <v>975</v>
      </c>
      <c r="D167" s="25" t="s">
        <v>999</v>
      </c>
      <c r="E167" s="28"/>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4" t="s">
        <v>569</v>
      </c>
      <c r="C168" s="25" t="s">
        <v>975</v>
      </c>
      <c r="D168" s="25" t="s">
        <v>1000</v>
      </c>
      <c r="E168" s="28"/>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4" t="s">
        <v>569</v>
      </c>
      <c r="C169" s="25" t="s">
        <v>975</v>
      </c>
      <c r="D169" s="25" t="s">
        <v>1001</v>
      </c>
      <c r="E169" s="28"/>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4" t="s">
        <v>569</v>
      </c>
      <c r="C170" s="25" t="s">
        <v>975</v>
      </c>
      <c r="D170" s="25" t="s">
        <v>1002</v>
      </c>
      <c r="E170" s="28"/>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4" t="s">
        <v>569</v>
      </c>
      <c r="C171" s="25" t="s">
        <v>975</v>
      </c>
      <c r="D171" s="24" t="s">
        <v>1003</v>
      </c>
      <c r="E171" s="28"/>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4" t="s">
        <v>569</v>
      </c>
      <c r="C172" s="25" t="s">
        <v>975</v>
      </c>
      <c r="D172" s="25" t="s">
        <v>1004</v>
      </c>
      <c r="E172" s="28"/>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4" t="s">
        <v>569</v>
      </c>
      <c r="C173" s="25" t="s">
        <v>975</v>
      </c>
      <c r="D173" s="25" t="s">
        <v>1005</v>
      </c>
      <c r="E173" s="28"/>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4" t="s">
        <v>569</v>
      </c>
      <c r="C174" s="25" t="s">
        <v>975</v>
      </c>
      <c r="D174" s="25" t="s">
        <v>1006</v>
      </c>
      <c r="E174" s="28"/>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4" t="s">
        <v>569</v>
      </c>
      <c r="C175" s="25" t="s">
        <v>1007</v>
      </c>
      <c r="D175" s="25" t="s">
        <v>1008</v>
      </c>
      <c r="E175" s="28"/>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4" t="s">
        <v>569</v>
      </c>
      <c r="C176" s="24" t="s">
        <v>1007</v>
      </c>
      <c r="D176" s="25" t="s">
        <v>1009</v>
      </c>
      <c r="E176" s="28"/>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4" t="s">
        <v>569</v>
      </c>
      <c r="C177" s="24" t="s">
        <v>1007</v>
      </c>
      <c r="D177" s="25" t="s">
        <v>824</v>
      </c>
      <c r="E177" s="28"/>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4" t="s">
        <v>569</v>
      </c>
      <c r="C178" s="24" t="s">
        <v>1007</v>
      </c>
      <c r="D178" s="25" t="s">
        <v>1010</v>
      </c>
      <c r="E178" s="28"/>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4" t="s">
        <v>569</v>
      </c>
      <c r="C179" s="24" t="s">
        <v>1007</v>
      </c>
      <c r="D179" s="25" t="s">
        <v>1011</v>
      </c>
      <c r="E179" s="28"/>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4" t="s">
        <v>569</v>
      </c>
      <c r="C180" s="24" t="s">
        <v>1007</v>
      </c>
      <c r="D180" s="25" t="s">
        <v>976</v>
      </c>
      <c r="E180" s="28"/>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4" t="s">
        <v>569</v>
      </c>
      <c r="C181" s="24" t="s">
        <v>1007</v>
      </c>
      <c r="D181" s="25" t="s">
        <v>889</v>
      </c>
      <c r="E181" s="28"/>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4" t="s">
        <v>569</v>
      </c>
      <c r="C182" s="24" t="s">
        <v>1007</v>
      </c>
      <c r="D182" s="25" t="s">
        <v>1012</v>
      </c>
      <c r="E182" s="28"/>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4" t="s">
        <v>569</v>
      </c>
      <c r="C183" s="24" t="s">
        <v>1007</v>
      </c>
      <c r="D183" s="25" t="s">
        <v>1013</v>
      </c>
      <c r="E183" s="28"/>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4" t="s">
        <v>569</v>
      </c>
      <c r="C184" s="24" t="s">
        <v>1007</v>
      </c>
      <c r="D184" s="25" t="s">
        <v>1014</v>
      </c>
      <c r="E184" s="28"/>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4" t="s">
        <v>569</v>
      </c>
      <c r="C185" s="24" t="s">
        <v>1007</v>
      </c>
      <c r="D185" s="25" t="s">
        <v>1015</v>
      </c>
      <c r="E185" s="28"/>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4" t="s">
        <v>569</v>
      </c>
      <c r="C186" s="24" t="s">
        <v>1007</v>
      </c>
      <c r="D186" s="25" t="s">
        <v>1016</v>
      </c>
      <c r="E186" s="28"/>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4" t="s">
        <v>569</v>
      </c>
      <c r="C187" s="24" t="s">
        <v>1007</v>
      </c>
      <c r="D187" s="25" t="s">
        <v>1017</v>
      </c>
      <c r="E187" s="28"/>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4" t="s">
        <v>569</v>
      </c>
      <c r="C188" s="24" t="s">
        <v>1007</v>
      </c>
      <c r="D188" s="25" t="s">
        <v>1018</v>
      </c>
      <c r="E188" s="28"/>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4" t="s">
        <v>569</v>
      </c>
      <c r="C189" s="24" t="s">
        <v>1007</v>
      </c>
      <c r="D189" s="25" t="s">
        <v>1019</v>
      </c>
      <c r="E189" s="28"/>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4" t="s">
        <v>569</v>
      </c>
      <c r="C190" s="24" t="s">
        <v>1007</v>
      </c>
      <c r="D190" s="25" t="s">
        <v>1020</v>
      </c>
      <c r="E190" s="28"/>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4" t="s">
        <v>569</v>
      </c>
      <c r="C191" s="24" t="s">
        <v>1007</v>
      </c>
      <c r="D191" s="25" t="s">
        <v>1021</v>
      </c>
      <c r="E191" s="28"/>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4" t="s">
        <v>569</v>
      </c>
      <c r="C192" s="24" t="s">
        <v>1007</v>
      </c>
      <c r="D192" s="25" t="s">
        <v>1022</v>
      </c>
      <c r="E192" s="28"/>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4" t="s">
        <v>569</v>
      </c>
      <c r="C193" s="24" t="s">
        <v>1007</v>
      </c>
      <c r="D193" s="25" t="s">
        <v>1023</v>
      </c>
      <c r="E193" s="28"/>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4" t="s">
        <v>569</v>
      </c>
      <c r="C194" s="24" t="s">
        <v>1007</v>
      </c>
      <c r="D194" s="25" t="s">
        <v>1024</v>
      </c>
      <c r="E194" s="28"/>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4" t="s">
        <v>569</v>
      </c>
      <c r="C195" s="24" t="s">
        <v>1007</v>
      </c>
      <c r="D195" s="25" t="s">
        <v>1025</v>
      </c>
      <c r="E195" s="28"/>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4" t="s">
        <v>569</v>
      </c>
      <c r="C196" s="24" t="s">
        <v>1007</v>
      </c>
      <c r="D196" s="25" t="s">
        <v>1026</v>
      </c>
      <c r="E196" s="28"/>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4" t="s">
        <v>569</v>
      </c>
      <c r="C197" s="24" t="s">
        <v>1007</v>
      </c>
      <c r="D197" s="25" t="s">
        <v>1027</v>
      </c>
      <c r="E197" s="28"/>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4" t="s">
        <v>569</v>
      </c>
      <c r="C198" s="24" t="s">
        <v>1007</v>
      </c>
      <c r="D198" s="25" t="s">
        <v>1028</v>
      </c>
      <c r="E198" s="28"/>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4" t="s">
        <v>569</v>
      </c>
      <c r="C199" s="24" t="s">
        <v>1007</v>
      </c>
      <c r="D199" s="25" t="s">
        <v>1029</v>
      </c>
      <c r="E199" s="28"/>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4" t="s">
        <v>569</v>
      </c>
      <c r="C200" s="24" t="s">
        <v>1007</v>
      </c>
      <c r="D200" s="25" t="s">
        <v>1030</v>
      </c>
      <c r="E200" s="28"/>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4" t="s">
        <v>569</v>
      </c>
      <c r="C201" s="24" t="s">
        <v>1007</v>
      </c>
      <c r="D201" s="25" t="s">
        <v>1031</v>
      </c>
      <c r="E201" s="28"/>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4" t="s">
        <v>569</v>
      </c>
      <c r="C202" s="24" t="s">
        <v>1007</v>
      </c>
      <c r="D202" s="25" t="s">
        <v>1032</v>
      </c>
      <c r="E202" s="26"/>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4" t="s">
        <v>569</v>
      </c>
      <c r="C203" s="24" t="s">
        <v>1007</v>
      </c>
      <c r="D203" s="25" t="s">
        <v>1033</v>
      </c>
      <c r="E203" s="26" t="s">
        <v>578</v>
      </c>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4" t="s">
        <v>569</v>
      </c>
      <c r="C204" s="24" t="s">
        <v>1007</v>
      </c>
      <c r="D204" s="25" t="s">
        <v>815</v>
      </c>
      <c r="E204" s="26"/>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4" t="s">
        <v>569</v>
      </c>
      <c r="C205" s="24" t="s">
        <v>1007</v>
      </c>
      <c r="D205" s="25" t="s">
        <v>1034</v>
      </c>
      <c r="E205" s="28"/>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4" t="s">
        <v>569</v>
      </c>
      <c r="C206" s="24" t="s">
        <v>1007</v>
      </c>
      <c r="D206" s="25" t="s">
        <v>1035</v>
      </c>
      <c r="E206" s="28"/>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4" t="s">
        <v>569</v>
      </c>
      <c r="C207" s="24" t="s">
        <v>1007</v>
      </c>
      <c r="D207" s="25" t="s">
        <v>1036</v>
      </c>
      <c r="E207" s="28"/>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4" t="s">
        <v>569</v>
      </c>
      <c r="C208" s="24" t="s">
        <v>1007</v>
      </c>
      <c r="D208" s="25" t="s">
        <v>1037</v>
      </c>
      <c r="E208" s="28"/>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4" t="s">
        <v>569</v>
      </c>
      <c r="C209" s="25" t="s">
        <v>1007</v>
      </c>
      <c r="D209" s="25" t="s">
        <v>1038</v>
      </c>
      <c r="E209" s="28"/>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4" t="s">
        <v>569</v>
      </c>
      <c r="C210" s="25" t="s">
        <v>1039</v>
      </c>
      <c r="D210" s="25" t="s">
        <v>1040</v>
      </c>
      <c r="E210" s="28"/>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4" t="s">
        <v>569</v>
      </c>
      <c r="C211" s="25" t="s">
        <v>1039</v>
      </c>
      <c r="D211" s="25" t="s">
        <v>1041</v>
      </c>
      <c r="E211" s="28"/>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4" t="s">
        <v>569</v>
      </c>
      <c r="C212" s="25" t="s">
        <v>1039</v>
      </c>
      <c r="D212" s="25" t="s">
        <v>1042</v>
      </c>
      <c r="E212" s="28"/>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4" t="s">
        <v>569</v>
      </c>
      <c r="C213" s="25" t="s">
        <v>1039</v>
      </c>
      <c r="D213" s="25" t="s">
        <v>1043</v>
      </c>
      <c r="E213" s="28"/>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4" t="s">
        <v>569</v>
      </c>
      <c r="C214" s="25" t="s">
        <v>1039</v>
      </c>
      <c r="D214" s="25" t="s">
        <v>976</v>
      </c>
      <c r="E214" s="28"/>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4" t="s">
        <v>569</v>
      </c>
      <c r="C215" s="25" t="s">
        <v>1039</v>
      </c>
      <c r="D215" s="25" t="s">
        <v>1044</v>
      </c>
      <c r="E215" s="28"/>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4" t="s">
        <v>569</v>
      </c>
      <c r="C216" s="25" t="s">
        <v>1039</v>
      </c>
      <c r="D216" s="25" t="s">
        <v>1045</v>
      </c>
      <c r="E216" s="28"/>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4" t="s">
        <v>569</v>
      </c>
      <c r="C217" s="25" t="s">
        <v>1039</v>
      </c>
      <c r="D217" s="25" t="s">
        <v>1046</v>
      </c>
      <c r="E217" s="28"/>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4" t="s">
        <v>569</v>
      </c>
      <c r="C218" s="25" t="s">
        <v>1039</v>
      </c>
      <c r="D218" s="25" t="s">
        <v>1047</v>
      </c>
      <c r="E218" s="28"/>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4" t="s">
        <v>569</v>
      </c>
      <c r="C219" s="25" t="s">
        <v>1039</v>
      </c>
      <c r="D219" s="25" t="s">
        <v>1048</v>
      </c>
      <c r="E219" s="28"/>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4" t="s">
        <v>569</v>
      </c>
      <c r="C220" s="25" t="s">
        <v>1039</v>
      </c>
      <c r="D220" s="25" t="s">
        <v>1049</v>
      </c>
      <c r="E220" s="28"/>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4" t="s">
        <v>569</v>
      </c>
      <c r="C221" s="25" t="s">
        <v>1039</v>
      </c>
      <c r="D221" s="25" t="s">
        <v>1050</v>
      </c>
      <c r="E221" s="28"/>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4" t="s">
        <v>569</v>
      </c>
      <c r="C222" s="25" t="s">
        <v>1039</v>
      </c>
      <c r="D222" s="25" t="s">
        <v>1051</v>
      </c>
      <c r="E222" s="28"/>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4" t="s">
        <v>569</v>
      </c>
      <c r="C223" s="25" t="s">
        <v>1039</v>
      </c>
      <c r="D223" s="25" t="s">
        <v>1052</v>
      </c>
      <c r="E223" s="28"/>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4" t="s">
        <v>569</v>
      </c>
      <c r="C224" s="25" t="s">
        <v>1039</v>
      </c>
      <c r="D224" s="25" t="s">
        <v>1053</v>
      </c>
      <c r="E224" s="28"/>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4" t="s">
        <v>569</v>
      </c>
      <c r="C225" s="25" t="s">
        <v>1039</v>
      </c>
      <c r="D225" s="25" t="s">
        <v>1054</v>
      </c>
      <c r="E225" s="28"/>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4" t="s">
        <v>569</v>
      </c>
      <c r="C226" s="25" t="s">
        <v>1039</v>
      </c>
      <c r="D226" s="25" t="s">
        <v>1055</v>
      </c>
      <c r="E226" s="28"/>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4" t="s">
        <v>569</v>
      </c>
      <c r="C227" s="25" t="s">
        <v>1039</v>
      </c>
      <c r="D227" s="25" t="s">
        <v>1056</v>
      </c>
      <c r="E227" s="28"/>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4" t="s">
        <v>569</v>
      </c>
      <c r="C228" s="25" t="s">
        <v>1039</v>
      </c>
      <c r="D228" s="25" t="s">
        <v>1057</v>
      </c>
      <c r="E228" s="28"/>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4" t="s">
        <v>569</v>
      </c>
      <c r="C229" s="25" t="s">
        <v>1039</v>
      </c>
      <c r="D229" s="25" t="s">
        <v>1058</v>
      </c>
      <c r="E229" s="28"/>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4" t="s">
        <v>569</v>
      </c>
      <c r="C230" s="25" t="s">
        <v>1039</v>
      </c>
      <c r="D230" s="25" t="s">
        <v>1059</v>
      </c>
      <c r="E230" s="28"/>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4" t="s">
        <v>569</v>
      </c>
      <c r="C231" s="25" t="s">
        <v>1039</v>
      </c>
      <c r="D231" s="25" t="s">
        <v>1060</v>
      </c>
      <c r="E231" s="28"/>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4" t="s">
        <v>569</v>
      </c>
      <c r="C232" s="25" t="s">
        <v>1039</v>
      </c>
      <c r="D232" s="25" t="s">
        <v>1061</v>
      </c>
      <c r="E232" s="28"/>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4" t="s">
        <v>569</v>
      </c>
      <c r="C233" s="25" t="s">
        <v>1039</v>
      </c>
      <c r="D233" s="25" t="s">
        <v>1062</v>
      </c>
      <c r="E233" s="28"/>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4" t="s">
        <v>569</v>
      </c>
      <c r="C234" s="25" t="s">
        <v>1039</v>
      </c>
      <c r="D234" s="25" t="s">
        <v>1063</v>
      </c>
      <c r="E234" s="28"/>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4" t="s">
        <v>569</v>
      </c>
      <c r="C235" s="25" t="s">
        <v>1039</v>
      </c>
      <c r="D235" s="25" t="s">
        <v>1064</v>
      </c>
      <c r="E235" s="28"/>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4" t="s">
        <v>569</v>
      </c>
      <c r="C236" s="25" t="s">
        <v>1039</v>
      </c>
      <c r="D236" s="25" t="s">
        <v>1065</v>
      </c>
      <c r="E236" s="28"/>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4" t="s">
        <v>569</v>
      </c>
      <c r="C237" s="25" t="s">
        <v>1039</v>
      </c>
      <c r="D237" s="25" t="s">
        <v>1066</v>
      </c>
      <c r="E237" s="28"/>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4" t="s">
        <v>569</v>
      </c>
      <c r="C238" s="25" t="s">
        <v>1039</v>
      </c>
      <c r="D238" s="25" t="s">
        <v>83</v>
      </c>
      <c r="E238" s="28"/>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4" t="s">
        <v>569</v>
      </c>
      <c r="C239" s="25" t="s">
        <v>1039</v>
      </c>
      <c r="D239" s="25" t="s">
        <v>1067</v>
      </c>
      <c r="E239" s="28"/>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4" t="s">
        <v>569</v>
      </c>
      <c r="C240" s="25" t="s">
        <v>1039</v>
      </c>
      <c r="D240" s="25" t="s">
        <v>1068</v>
      </c>
      <c r="E240" s="28"/>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4" t="s">
        <v>569</v>
      </c>
      <c r="C241" s="25" t="s">
        <v>1039</v>
      </c>
      <c r="D241" s="25" t="s">
        <v>1069</v>
      </c>
      <c r="E241" s="28"/>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4" t="s">
        <v>569</v>
      </c>
      <c r="C242" s="25" t="s">
        <v>1039</v>
      </c>
      <c r="D242" s="25" t="s">
        <v>1070</v>
      </c>
      <c r="E242" s="28"/>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4" t="s">
        <v>569</v>
      </c>
      <c r="C243" s="25" t="s">
        <v>1039</v>
      </c>
      <c r="D243" s="25" t="s">
        <v>1071</v>
      </c>
      <c r="E243" s="28"/>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4" t="s">
        <v>569</v>
      </c>
      <c r="C244" s="25" t="s">
        <v>1039</v>
      </c>
      <c r="D244" s="25" t="s">
        <v>1072</v>
      </c>
      <c r="E244" s="28"/>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4" t="s">
        <v>569</v>
      </c>
      <c r="C245" s="25" t="s">
        <v>1039</v>
      </c>
      <c r="D245" s="25" t="s">
        <v>1073</v>
      </c>
      <c r="E245" s="28"/>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4" t="s">
        <v>569</v>
      </c>
      <c r="C246" s="25" t="s">
        <v>1074</v>
      </c>
      <c r="D246" s="25" t="s">
        <v>1075</v>
      </c>
      <c r="E246" s="28"/>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4" t="s">
        <v>569</v>
      </c>
      <c r="C247" s="25" t="s">
        <v>1074</v>
      </c>
      <c r="D247" s="25" t="s">
        <v>1076</v>
      </c>
      <c r="E247" s="28"/>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4" t="s">
        <v>1077</v>
      </c>
      <c r="C248" s="25" t="s">
        <v>1078</v>
      </c>
      <c r="D248" s="25" t="s">
        <v>1079</v>
      </c>
      <c r="E248" s="28"/>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4" t="s">
        <v>1077</v>
      </c>
      <c r="C249" s="25" t="s">
        <v>1078</v>
      </c>
      <c r="D249" s="25" t="s">
        <v>1080</v>
      </c>
      <c r="E249" s="28"/>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4" t="s">
        <v>1077</v>
      </c>
      <c r="C250" s="25" t="s">
        <v>1078</v>
      </c>
      <c r="D250" s="25" t="s">
        <v>1081</v>
      </c>
      <c r="E250" s="28"/>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4" t="s">
        <v>1077</v>
      </c>
      <c r="C251" s="25" t="s">
        <v>1078</v>
      </c>
      <c r="D251" s="25" t="s">
        <v>1082</v>
      </c>
      <c r="E251" s="28"/>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4" t="s">
        <v>1077</v>
      </c>
      <c r="C252" s="25" t="s">
        <v>1078</v>
      </c>
      <c r="D252" s="25" t="s">
        <v>1083</v>
      </c>
      <c r="E252" s="28"/>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4" t="s">
        <v>1077</v>
      </c>
      <c r="C253" s="25" t="s">
        <v>1078</v>
      </c>
      <c r="D253" s="25" t="s">
        <v>1084</v>
      </c>
      <c r="E253" s="28"/>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4" t="s">
        <v>1077</v>
      </c>
      <c r="C254" s="25" t="s">
        <v>1078</v>
      </c>
      <c r="D254" s="25" t="s">
        <v>1085</v>
      </c>
      <c r="E254" s="28"/>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4" t="s">
        <v>1077</v>
      </c>
      <c r="C255" s="25" t="s">
        <v>1078</v>
      </c>
      <c r="D255" s="25" t="s">
        <v>1055</v>
      </c>
      <c r="E255" s="28"/>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4" t="s">
        <v>1077</v>
      </c>
      <c r="C256" s="25" t="s">
        <v>1078</v>
      </c>
      <c r="D256" s="25" t="s">
        <v>1086</v>
      </c>
      <c r="E256" s="28"/>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4" t="s">
        <v>1077</v>
      </c>
      <c r="C257" s="25" t="s">
        <v>1078</v>
      </c>
      <c r="D257" s="25" t="s">
        <v>1087</v>
      </c>
      <c r="E257" s="28"/>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4" t="s">
        <v>1077</v>
      </c>
      <c r="C258" s="25" t="s">
        <v>1078</v>
      </c>
      <c r="D258" s="25" t="s">
        <v>1088</v>
      </c>
      <c r="E258" s="28"/>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4" t="s">
        <v>1077</v>
      </c>
      <c r="C259" s="25" t="s">
        <v>1078</v>
      </c>
      <c r="D259" s="25" t="s">
        <v>1089</v>
      </c>
      <c r="E259" s="28"/>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4" t="s">
        <v>1077</v>
      </c>
      <c r="C260" s="25" t="s">
        <v>1078</v>
      </c>
      <c r="D260" s="25" t="s">
        <v>1090</v>
      </c>
      <c r="E260" s="28"/>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4" t="s">
        <v>1077</v>
      </c>
      <c r="C261" s="25" t="s">
        <v>1078</v>
      </c>
      <c r="D261" s="25" t="s">
        <v>1091</v>
      </c>
      <c r="E261" s="28"/>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4" t="s">
        <v>1077</v>
      </c>
      <c r="C262" s="25" t="s">
        <v>1078</v>
      </c>
      <c r="D262" s="25" t="s">
        <v>1092</v>
      </c>
      <c r="E262" s="28"/>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4" t="s">
        <v>1077</v>
      </c>
      <c r="C263" s="25" t="s">
        <v>1078</v>
      </c>
      <c r="D263" s="25" t="s">
        <v>1093</v>
      </c>
      <c r="E263" s="28"/>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4" t="s">
        <v>1077</v>
      </c>
      <c r="C264" s="25" t="s">
        <v>1078</v>
      </c>
      <c r="D264" s="25" t="s">
        <v>1094</v>
      </c>
      <c r="E264" s="28"/>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4" t="s">
        <v>1077</v>
      </c>
      <c r="C265" s="25" t="s">
        <v>1078</v>
      </c>
      <c r="D265" s="25" t="s">
        <v>1095</v>
      </c>
      <c r="E265" s="28"/>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4" t="s">
        <v>1077</v>
      </c>
      <c r="C266" s="25" t="s">
        <v>1096</v>
      </c>
      <c r="D266" s="25" t="s">
        <v>1097</v>
      </c>
      <c r="E266" s="28"/>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4" t="s">
        <v>1077</v>
      </c>
      <c r="C267" s="25" t="s">
        <v>1096</v>
      </c>
      <c r="D267" s="25" t="s">
        <v>1098</v>
      </c>
      <c r="E267" s="28"/>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4" t="s">
        <v>1077</v>
      </c>
      <c r="C268" s="25" t="s">
        <v>1096</v>
      </c>
      <c r="D268" s="25" t="s">
        <v>1099</v>
      </c>
      <c r="E268" s="28"/>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4" t="s">
        <v>1077</v>
      </c>
      <c r="C269" s="25" t="s">
        <v>1096</v>
      </c>
      <c r="D269" s="25" t="s">
        <v>1100</v>
      </c>
      <c r="E269" s="28"/>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4" t="s">
        <v>1077</v>
      </c>
      <c r="C270" s="25" t="s">
        <v>1096</v>
      </c>
      <c r="D270" s="25" t="s">
        <v>1101</v>
      </c>
      <c r="E270" s="28"/>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4" t="s">
        <v>1077</v>
      </c>
      <c r="C271" s="25" t="s">
        <v>1096</v>
      </c>
      <c r="D271" s="25" t="s">
        <v>1102</v>
      </c>
      <c r="E271" s="28"/>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4" t="s">
        <v>1077</v>
      </c>
      <c r="C272" s="25" t="s">
        <v>1096</v>
      </c>
      <c r="D272" s="25" t="s">
        <v>1103</v>
      </c>
      <c r="E272" s="28"/>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4" t="s">
        <v>1077</v>
      </c>
      <c r="C273" s="25" t="s">
        <v>1096</v>
      </c>
      <c r="D273" s="25" t="s">
        <v>1104</v>
      </c>
      <c r="E273" s="28"/>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4" t="s">
        <v>1077</v>
      </c>
      <c r="C274" s="25" t="s">
        <v>1096</v>
      </c>
      <c r="D274" s="25" t="s">
        <v>1105</v>
      </c>
      <c r="E274" s="28"/>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4" t="s">
        <v>1077</v>
      </c>
      <c r="C275" s="25" t="s">
        <v>1096</v>
      </c>
      <c r="D275" s="25" t="s">
        <v>1106</v>
      </c>
      <c r="E275" s="28"/>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4" t="s">
        <v>1077</v>
      </c>
      <c r="C276" s="25" t="s">
        <v>1096</v>
      </c>
      <c r="D276" s="25" t="s">
        <v>1107</v>
      </c>
      <c r="E276" s="28"/>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4" t="s">
        <v>1077</v>
      </c>
      <c r="C277" s="25" t="s">
        <v>1096</v>
      </c>
      <c r="D277" s="25" t="s">
        <v>1108</v>
      </c>
      <c r="E277" s="28"/>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4" t="s">
        <v>1077</v>
      </c>
      <c r="C278" s="25" t="s">
        <v>1096</v>
      </c>
      <c r="D278" s="25" t="s">
        <v>1109</v>
      </c>
      <c r="E278" s="28"/>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4" t="s">
        <v>1077</v>
      </c>
      <c r="C279" s="25" t="s">
        <v>1096</v>
      </c>
      <c r="D279" s="25" t="s">
        <v>1110</v>
      </c>
      <c r="E279" s="28"/>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4" t="s">
        <v>1077</v>
      </c>
      <c r="C280" s="25" t="s">
        <v>1096</v>
      </c>
      <c r="D280" s="25" t="s">
        <v>1111</v>
      </c>
      <c r="E280" s="28"/>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4" t="s">
        <v>1077</v>
      </c>
      <c r="C281" s="25" t="s">
        <v>1096</v>
      </c>
      <c r="D281" s="25" t="s">
        <v>1112</v>
      </c>
      <c r="E281" s="28"/>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4" t="s">
        <v>1077</v>
      </c>
      <c r="C282" s="25" t="s">
        <v>1096</v>
      </c>
      <c r="D282" s="25" t="s">
        <v>1113</v>
      </c>
      <c r="E282" s="28"/>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4" t="s">
        <v>1077</v>
      </c>
      <c r="C283" s="25" t="s">
        <v>1096</v>
      </c>
      <c r="D283" s="25" t="s">
        <v>1114</v>
      </c>
      <c r="E283" s="28"/>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4" t="s">
        <v>1077</v>
      </c>
      <c r="C284" s="25" t="s">
        <v>1096</v>
      </c>
      <c r="D284" s="25" t="s">
        <v>1117</v>
      </c>
      <c r="E284" s="28"/>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4" t="s">
        <v>1077</v>
      </c>
      <c r="C285" s="25" t="s">
        <v>1096</v>
      </c>
      <c r="D285" s="25" t="s">
        <v>1119</v>
      </c>
      <c r="E285" s="28"/>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4" t="s">
        <v>1077</v>
      </c>
      <c r="C286" s="25" t="s">
        <v>1096</v>
      </c>
      <c r="D286" s="25" t="s">
        <v>1124</v>
      </c>
      <c r="E286" s="28"/>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4" t="s">
        <v>1077</v>
      </c>
      <c r="C287" s="25" t="s">
        <v>1096</v>
      </c>
      <c r="D287" s="25" t="s">
        <v>1129</v>
      </c>
      <c r="E287" s="28"/>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4" t="s">
        <v>1077</v>
      </c>
      <c r="C288" s="25" t="s">
        <v>1096</v>
      </c>
      <c r="D288" s="25" t="s">
        <v>1132</v>
      </c>
      <c r="E288" s="28"/>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4" t="s">
        <v>1077</v>
      </c>
      <c r="C289" s="25" t="s">
        <v>1096</v>
      </c>
      <c r="D289" s="25" t="s">
        <v>1133</v>
      </c>
      <c r="E289" s="28"/>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4" t="s">
        <v>1077</v>
      </c>
      <c r="C290" s="25" t="s">
        <v>1096</v>
      </c>
      <c r="D290" s="25" t="s">
        <v>1139</v>
      </c>
      <c r="E290" s="28"/>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4" t="s">
        <v>1077</v>
      </c>
      <c r="C291" s="25" t="s">
        <v>1096</v>
      </c>
      <c r="D291" s="25" t="s">
        <v>1148</v>
      </c>
      <c r="E291" s="28"/>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4" t="s">
        <v>1077</v>
      </c>
      <c r="C292" s="25" t="s">
        <v>1096</v>
      </c>
      <c r="D292" s="25" t="s">
        <v>1150</v>
      </c>
      <c r="E292" s="28"/>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4" t="s">
        <v>1077</v>
      </c>
      <c r="C293" s="25" t="s">
        <v>1096</v>
      </c>
      <c r="D293" s="25" t="s">
        <v>1156</v>
      </c>
      <c r="E293" s="28"/>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4" t="s">
        <v>1077</v>
      </c>
      <c r="C294" s="25" t="s">
        <v>1096</v>
      </c>
      <c r="D294" s="25" t="s">
        <v>1161</v>
      </c>
      <c r="E294" s="28"/>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4" t="s">
        <v>1077</v>
      </c>
      <c r="C295" s="25" t="s">
        <v>1096</v>
      </c>
      <c r="D295" s="25" t="s">
        <v>1168</v>
      </c>
      <c r="E295" s="28"/>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4" t="s">
        <v>1077</v>
      </c>
      <c r="C296" s="25" t="s">
        <v>1096</v>
      </c>
      <c r="D296" s="25" t="s">
        <v>1170</v>
      </c>
      <c r="E296" s="28"/>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4" t="s">
        <v>1077</v>
      </c>
      <c r="C297" s="25" t="s">
        <v>1096</v>
      </c>
      <c r="D297" s="25" t="s">
        <v>1176</v>
      </c>
      <c r="E297" s="28"/>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4" t="s">
        <v>1077</v>
      </c>
      <c r="C298" s="25" t="s">
        <v>1096</v>
      </c>
      <c r="D298" s="25" t="s">
        <v>1177</v>
      </c>
      <c r="E298" s="28"/>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4" t="s">
        <v>1077</v>
      </c>
      <c r="C299" s="25" t="s">
        <v>1096</v>
      </c>
      <c r="D299" s="25" t="s">
        <v>1181</v>
      </c>
      <c r="E299" s="28"/>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4" t="s">
        <v>1077</v>
      </c>
      <c r="C300" s="25" t="s">
        <v>1096</v>
      </c>
      <c r="D300" s="25" t="s">
        <v>1183</v>
      </c>
      <c r="E300" s="28"/>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4" t="s">
        <v>1077</v>
      </c>
      <c r="C301" s="25" t="s">
        <v>1096</v>
      </c>
      <c r="D301" s="25" t="s">
        <v>1186</v>
      </c>
      <c r="E301" s="28"/>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4" t="s">
        <v>1077</v>
      </c>
      <c r="C302" s="25" t="s">
        <v>1096</v>
      </c>
      <c r="D302" s="25" t="s">
        <v>1189</v>
      </c>
      <c r="E302" s="28"/>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4" t="s">
        <v>1077</v>
      </c>
      <c r="C303" s="25" t="s">
        <v>1096</v>
      </c>
      <c r="D303" s="25" t="s">
        <v>1192</v>
      </c>
      <c r="E303" s="28"/>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4" t="s">
        <v>1077</v>
      </c>
      <c r="C304" s="25" t="s">
        <v>1096</v>
      </c>
      <c r="D304" s="25" t="s">
        <v>1196</v>
      </c>
      <c r="E304" s="28"/>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4" t="s">
        <v>1077</v>
      </c>
      <c r="C305" s="25" t="s">
        <v>1096</v>
      </c>
      <c r="D305" s="25" t="s">
        <v>1197</v>
      </c>
      <c r="E305" s="28"/>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4" t="s">
        <v>1077</v>
      </c>
      <c r="C306" s="25" t="s">
        <v>1096</v>
      </c>
      <c r="D306" s="25" t="s">
        <v>1199</v>
      </c>
      <c r="E306" s="28"/>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4" t="s">
        <v>1077</v>
      </c>
      <c r="C307" s="25" t="s">
        <v>1096</v>
      </c>
      <c r="D307" s="25" t="s">
        <v>1202</v>
      </c>
      <c r="E307" s="28"/>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4" t="s">
        <v>1077</v>
      </c>
      <c r="C308" s="25" t="s">
        <v>1096</v>
      </c>
      <c r="D308" s="25" t="s">
        <v>1205</v>
      </c>
      <c r="E308" s="28"/>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4" t="s">
        <v>1077</v>
      </c>
      <c r="C309" s="25" t="s">
        <v>1206</v>
      </c>
      <c r="D309" s="25" t="s">
        <v>1207</v>
      </c>
      <c r="E309" s="28"/>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4" t="s">
        <v>1077</v>
      </c>
      <c r="C310" s="25" t="s">
        <v>1206</v>
      </c>
      <c r="D310" s="25" t="s">
        <v>1208</v>
      </c>
      <c r="E310" s="28"/>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4" t="s">
        <v>1077</v>
      </c>
      <c r="C311" s="25" t="s">
        <v>1206</v>
      </c>
      <c r="D311" s="25" t="s">
        <v>1209</v>
      </c>
      <c r="E311" s="28"/>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4" t="s">
        <v>1077</v>
      </c>
      <c r="C312" s="25" t="s">
        <v>1206</v>
      </c>
      <c r="D312" s="25" t="s">
        <v>1210</v>
      </c>
      <c r="E312" s="28"/>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4" t="s">
        <v>1077</v>
      </c>
      <c r="C313" s="25" t="s">
        <v>1206</v>
      </c>
      <c r="D313" s="25" t="s">
        <v>1211</v>
      </c>
      <c r="E313" s="28"/>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4" t="s">
        <v>1077</v>
      </c>
      <c r="C314" s="25" t="s">
        <v>1206</v>
      </c>
      <c r="D314" s="25" t="s">
        <v>1212</v>
      </c>
      <c r="E314" s="28"/>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4" t="s">
        <v>1077</v>
      </c>
      <c r="C315" s="25" t="s">
        <v>1206</v>
      </c>
      <c r="D315" s="25" t="s">
        <v>1213</v>
      </c>
      <c r="E315" s="28"/>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4" t="s">
        <v>1077</v>
      </c>
      <c r="C316" s="25" t="s">
        <v>1206</v>
      </c>
      <c r="D316" s="25" t="s">
        <v>1214</v>
      </c>
      <c r="E316" s="28"/>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4" t="s">
        <v>1077</v>
      </c>
      <c r="C317" s="25" t="s">
        <v>1206</v>
      </c>
      <c r="D317" s="25" t="s">
        <v>1215</v>
      </c>
      <c r="E317" s="28"/>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4" t="s">
        <v>1077</v>
      </c>
      <c r="C318" s="25" t="s">
        <v>1206</v>
      </c>
      <c r="D318" s="25" t="s">
        <v>1216</v>
      </c>
      <c r="E318" s="28"/>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4" t="s">
        <v>1077</v>
      </c>
      <c r="C319" s="25" t="s">
        <v>1206</v>
      </c>
      <c r="D319" s="25" t="s">
        <v>1218</v>
      </c>
      <c r="E319" s="28"/>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4" t="s">
        <v>1077</v>
      </c>
      <c r="C320" s="25" t="s">
        <v>1206</v>
      </c>
      <c r="D320" s="25" t="s">
        <v>1219</v>
      </c>
      <c r="E320" s="28"/>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4" t="s">
        <v>1077</v>
      </c>
      <c r="C321" s="25" t="s">
        <v>1206</v>
      </c>
      <c r="D321" s="25" t="s">
        <v>980</v>
      </c>
      <c r="E321" s="28"/>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4" t="s">
        <v>1077</v>
      </c>
      <c r="C322" s="25" t="s">
        <v>1206</v>
      </c>
      <c r="D322" s="25" t="s">
        <v>1221</v>
      </c>
      <c r="E322" s="28"/>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4" t="s">
        <v>1077</v>
      </c>
      <c r="C323" s="25" t="s">
        <v>1206</v>
      </c>
      <c r="D323" s="25" t="s">
        <v>1223</v>
      </c>
      <c r="E323" s="28"/>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4" t="s">
        <v>1077</v>
      </c>
      <c r="C324" s="25" t="s">
        <v>1206</v>
      </c>
      <c r="D324" s="25" t="s">
        <v>1224</v>
      </c>
      <c r="E324" s="28"/>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4" t="s">
        <v>1077</v>
      </c>
      <c r="C325" s="25" t="s">
        <v>1206</v>
      </c>
      <c r="D325" s="25" t="s">
        <v>1225</v>
      </c>
      <c r="E325" s="28"/>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4" t="s">
        <v>1077</v>
      </c>
      <c r="C326" s="25" t="s">
        <v>1206</v>
      </c>
      <c r="D326" s="25" t="s">
        <v>1226</v>
      </c>
      <c r="E326" s="28"/>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4" t="s">
        <v>1077</v>
      </c>
      <c r="C327" s="25" t="s">
        <v>1206</v>
      </c>
      <c r="D327" s="25" t="s">
        <v>1227</v>
      </c>
      <c r="E327" s="28"/>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4" t="s">
        <v>1077</v>
      </c>
      <c r="C328" s="25" t="s">
        <v>1206</v>
      </c>
      <c r="D328" s="25" t="s">
        <v>1228</v>
      </c>
      <c r="E328" s="28"/>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4" t="s">
        <v>1077</v>
      </c>
      <c r="C329" s="25" t="s">
        <v>1206</v>
      </c>
      <c r="D329" s="25" t="s">
        <v>1229</v>
      </c>
      <c r="E329" s="28"/>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4" t="s">
        <v>1077</v>
      </c>
      <c r="C330" s="25" t="s">
        <v>1206</v>
      </c>
      <c r="D330" s="25" t="s">
        <v>1230</v>
      </c>
      <c r="E330" s="28"/>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4" t="s">
        <v>1077</v>
      </c>
      <c r="C331" s="25" t="s">
        <v>1206</v>
      </c>
      <c r="D331" s="25" t="s">
        <v>1231</v>
      </c>
      <c r="E331" s="28"/>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4" t="s">
        <v>1077</v>
      </c>
      <c r="C332" s="25" t="s">
        <v>1206</v>
      </c>
      <c r="D332" s="25" t="s">
        <v>1233</v>
      </c>
      <c r="E332" s="28"/>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4" t="s">
        <v>1077</v>
      </c>
      <c r="C333" s="25" t="s">
        <v>1206</v>
      </c>
      <c r="D333" s="25" t="s">
        <v>1234</v>
      </c>
      <c r="E333" s="28"/>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4" t="s">
        <v>1077</v>
      </c>
      <c r="C334" s="25" t="s">
        <v>1206</v>
      </c>
      <c r="D334" s="25" t="s">
        <v>1236</v>
      </c>
      <c r="E334" s="28"/>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4" t="s">
        <v>1077</v>
      </c>
      <c r="C335" s="25" t="s">
        <v>1206</v>
      </c>
      <c r="D335" s="25" t="s">
        <v>1237</v>
      </c>
      <c r="E335" s="28"/>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4" t="s">
        <v>1077</v>
      </c>
      <c r="C336" s="25" t="s">
        <v>1206</v>
      </c>
      <c r="D336" s="25" t="s">
        <v>1239</v>
      </c>
      <c r="E336" s="28"/>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4" t="s">
        <v>1077</v>
      </c>
      <c r="C337" s="25" t="s">
        <v>1206</v>
      </c>
      <c r="D337" s="25" t="s">
        <v>1241</v>
      </c>
      <c r="E337" s="28"/>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4" t="s">
        <v>1077</v>
      </c>
      <c r="C338" s="25" t="s">
        <v>1206</v>
      </c>
      <c r="D338" s="25" t="s">
        <v>1243</v>
      </c>
      <c r="E338" s="28"/>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4" t="s">
        <v>1077</v>
      </c>
      <c r="C339" s="25" t="s">
        <v>1206</v>
      </c>
      <c r="D339" s="25" t="s">
        <v>1245</v>
      </c>
      <c r="E339" s="28"/>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4" t="s">
        <v>1077</v>
      </c>
      <c r="C340" s="25" t="s">
        <v>1206</v>
      </c>
      <c r="D340" s="25" t="s">
        <v>1185</v>
      </c>
      <c r="E340" s="28"/>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4" t="s">
        <v>1077</v>
      </c>
      <c r="C341" s="25" t="s">
        <v>1206</v>
      </c>
      <c r="D341" s="25" t="s">
        <v>1246</v>
      </c>
      <c r="E341" s="26"/>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4" t="s">
        <v>1077</v>
      </c>
      <c r="C342" s="25" t="s">
        <v>1206</v>
      </c>
      <c r="D342" s="25" t="s">
        <v>1247</v>
      </c>
      <c r="E342" s="26" t="s">
        <v>578</v>
      </c>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4" t="s">
        <v>1077</v>
      </c>
      <c r="C343" s="25" t="s">
        <v>1206</v>
      </c>
      <c r="D343" s="25" t="s">
        <v>1248</v>
      </c>
      <c r="E343" s="26"/>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4" t="s">
        <v>1077</v>
      </c>
      <c r="C344" s="25" t="s">
        <v>1206</v>
      </c>
      <c r="D344" s="25" t="s">
        <v>1249</v>
      </c>
      <c r="E344" s="28"/>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4" t="s">
        <v>1077</v>
      </c>
      <c r="C345" s="25" t="s">
        <v>1206</v>
      </c>
      <c r="D345" s="25" t="s">
        <v>1250</v>
      </c>
      <c r="E345" s="28"/>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4" t="s">
        <v>1077</v>
      </c>
      <c r="C346" s="25" t="s">
        <v>1206</v>
      </c>
      <c r="D346" s="25" t="s">
        <v>1251</v>
      </c>
      <c r="E346" s="28"/>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4" t="s">
        <v>1077</v>
      </c>
      <c r="C347" s="25" t="s">
        <v>1206</v>
      </c>
      <c r="D347" s="25" t="s">
        <v>1252</v>
      </c>
      <c r="E347" s="28"/>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4" t="s">
        <v>1077</v>
      </c>
      <c r="C348" s="25" t="s">
        <v>1206</v>
      </c>
      <c r="D348" s="24" t="s">
        <v>1253</v>
      </c>
      <c r="E348" s="28"/>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4" t="s">
        <v>1077</v>
      </c>
      <c r="C349" s="25" t="s">
        <v>1206</v>
      </c>
      <c r="D349" s="25" t="s">
        <v>1254</v>
      </c>
      <c r="E349" s="28"/>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4" t="s">
        <v>1077</v>
      </c>
      <c r="C350" s="25" t="s">
        <v>1206</v>
      </c>
      <c r="D350" s="25" t="s">
        <v>1255</v>
      </c>
      <c r="E350" s="28"/>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4" t="s">
        <v>1077</v>
      </c>
      <c r="C351" s="25" t="s">
        <v>1206</v>
      </c>
      <c r="D351" s="25" t="s">
        <v>1256</v>
      </c>
      <c r="E351" s="28"/>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4" t="s">
        <v>1077</v>
      </c>
      <c r="C352" s="25" t="s">
        <v>1206</v>
      </c>
      <c r="D352" s="25" t="s">
        <v>1257</v>
      </c>
      <c r="E352" s="28"/>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4" t="s">
        <v>1077</v>
      </c>
      <c r="C353" s="25" t="s">
        <v>1206</v>
      </c>
      <c r="D353" s="25" t="s">
        <v>1258</v>
      </c>
      <c r="E353" s="28"/>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4" t="s">
        <v>1077</v>
      </c>
      <c r="C354" s="25" t="s">
        <v>1206</v>
      </c>
      <c r="D354" s="25" t="s">
        <v>1259</v>
      </c>
      <c r="E354" s="28"/>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4" t="s">
        <v>1077</v>
      </c>
      <c r="C355" s="25" t="s">
        <v>1206</v>
      </c>
      <c r="D355" s="25" t="s">
        <v>1260</v>
      </c>
      <c r="E355" s="28"/>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4" t="s">
        <v>1077</v>
      </c>
      <c r="C356" s="25" t="s">
        <v>1261</v>
      </c>
      <c r="D356" s="25" t="s">
        <v>1262</v>
      </c>
      <c r="E356" s="28"/>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4" t="s">
        <v>1077</v>
      </c>
      <c r="C357" s="25" t="s">
        <v>1261</v>
      </c>
      <c r="D357" s="25" t="s">
        <v>1263</v>
      </c>
      <c r="E357" s="28"/>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4" t="s">
        <v>1077</v>
      </c>
      <c r="C358" s="25" t="s">
        <v>1261</v>
      </c>
      <c r="D358" s="25" t="s">
        <v>1272</v>
      </c>
      <c r="E358" s="28"/>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4" t="s">
        <v>1077</v>
      </c>
      <c r="C359" s="25" t="s">
        <v>1261</v>
      </c>
      <c r="D359" s="25" t="s">
        <v>1281</v>
      </c>
      <c r="E359" s="28"/>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4" t="s">
        <v>1077</v>
      </c>
      <c r="C360" s="25" t="s">
        <v>1261</v>
      </c>
      <c r="D360" s="25" t="s">
        <v>1289</v>
      </c>
      <c r="E360" s="28"/>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4" t="s">
        <v>1077</v>
      </c>
      <c r="C361" s="25" t="s">
        <v>1261</v>
      </c>
      <c r="D361" s="25" t="s">
        <v>1046</v>
      </c>
      <c r="E361" s="28"/>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4" t="s">
        <v>1077</v>
      </c>
      <c r="C362" s="25" t="s">
        <v>1261</v>
      </c>
      <c r="D362" s="25" t="s">
        <v>1300</v>
      </c>
      <c r="E362" s="28"/>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4" t="s">
        <v>1077</v>
      </c>
      <c r="C363" s="25" t="s">
        <v>1261</v>
      </c>
      <c r="D363" s="25" t="s">
        <v>1307</v>
      </c>
      <c r="E363" s="28"/>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4" t="s">
        <v>1077</v>
      </c>
      <c r="C364" s="25" t="s">
        <v>1261</v>
      </c>
      <c r="D364" s="25" t="s">
        <v>1308</v>
      </c>
      <c r="E364" s="28"/>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4" t="s">
        <v>1077</v>
      </c>
      <c r="C365" s="25" t="s">
        <v>1261</v>
      </c>
      <c r="D365" s="25" t="s">
        <v>1309</v>
      </c>
      <c r="E365" s="28"/>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4" t="s">
        <v>1077</v>
      </c>
      <c r="C366" s="25" t="s">
        <v>1261</v>
      </c>
      <c r="D366" s="25" t="s">
        <v>1310</v>
      </c>
      <c r="E366" s="28"/>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4" t="s">
        <v>1077</v>
      </c>
      <c r="C367" s="25" t="s">
        <v>1261</v>
      </c>
      <c r="D367" s="25" t="s">
        <v>1311</v>
      </c>
      <c r="E367" s="28"/>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4" t="s">
        <v>1077</v>
      </c>
      <c r="C368" s="25" t="s">
        <v>1261</v>
      </c>
      <c r="D368" s="25" t="s">
        <v>1312</v>
      </c>
      <c r="E368" s="28"/>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4" t="s">
        <v>1077</v>
      </c>
      <c r="C369" s="25" t="s">
        <v>1261</v>
      </c>
      <c r="D369" s="25" t="s">
        <v>1313</v>
      </c>
      <c r="E369" s="28"/>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4" t="s">
        <v>1077</v>
      </c>
      <c r="C370" s="25" t="s">
        <v>1261</v>
      </c>
      <c r="D370" s="25" t="s">
        <v>1314</v>
      </c>
      <c r="E370" s="28"/>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4" t="s">
        <v>1077</v>
      </c>
      <c r="C371" s="25" t="s">
        <v>1261</v>
      </c>
      <c r="D371" s="25" t="s">
        <v>1315</v>
      </c>
      <c r="E371" s="28"/>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4" t="s">
        <v>1077</v>
      </c>
      <c r="C372" s="25" t="s">
        <v>1261</v>
      </c>
      <c r="D372" s="25" t="s">
        <v>1316</v>
      </c>
      <c r="E372" s="28"/>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4" t="s">
        <v>1077</v>
      </c>
      <c r="C373" s="25" t="s">
        <v>1261</v>
      </c>
      <c r="D373" s="25" t="s">
        <v>1317</v>
      </c>
      <c r="E373" s="28"/>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4" t="s">
        <v>1077</v>
      </c>
      <c r="C374" s="25" t="s">
        <v>1261</v>
      </c>
      <c r="D374" s="25" t="s">
        <v>1318</v>
      </c>
      <c r="E374" s="28"/>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4" t="s">
        <v>1077</v>
      </c>
      <c r="C375" s="25" t="s">
        <v>1261</v>
      </c>
      <c r="D375" s="25" t="s">
        <v>1319</v>
      </c>
      <c r="E375" s="28"/>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4" t="s">
        <v>1077</v>
      </c>
      <c r="C376" s="25" t="s">
        <v>1261</v>
      </c>
      <c r="D376" s="25" t="s">
        <v>1320</v>
      </c>
      <c r="E376" s="28"/>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4" t="s">
        <v>1077</v>
      </c>
      <c r="C377" s="25" t="s">
        <v>1261</v>
      </c>
      <c r="D377" s="25" t="s">
        <v>1321</v>
      </c>
      <c r="E377" s="28"/>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4" t="s">
        <v>1077</v>
      </c>
      <c r="C378" s="25" t="s">
        <v>1261</v>
      </c>
      <c r="D378" s="25" t="s">
        <v>1322</v>
      </c>
      <c r="E378" s="28"/>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4" t="s">
        <v>1077</v>
      </c>
      <c r="C379" s="25" t="s">
        <v>1261</v>
      </c>
      <c r="D379" s="25" t="s">
        <v>1323</v>
      </c>
      <c r="E379" s="28"/>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4" t="s">
        <v>1077</v>
      </c>
      <c r="C380" s="25" t="s">
        <v>1261</v>
      </c>
      <c r="D380" s="25" t="s">
        <v>1324</v>
      </c>
      <c r="E380" s="28"/>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4" t="s">
        <v>1077</v>
      </c>
      <c r="C381" s="25" t="s">
        <v>1261</v>
      </c>
      <c r="D381" s="25" t="s">
        <v>1325</v>
      </c>
      <c r="E381" s="28"/>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4" t="s">
        <v>1077</v>
      </c>
      <c r="C382" s="25" t="s">
        <v>1261</v>
      </c>
      <c r="D382" s="25" t="s">
        <v>1326</v>
      </c>
      <c r="E382" s="28"/>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4" t="s">
        <v>1077</v>
      </c>
      <c r="C383" s="25" t="s">
        <v>1261</v>
      </c>
      <c r="D383" s="25" t="s">
        <v>1327</v>
      </c>
      <c r="E383" s="28"/>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4" t="s">
        <v>1077</v>
      </c>
      <c r="C384" s="25" t="s">
        <v>1261</v>
      </c>
      <c r="D384" s="25" t="s">
        <v>1328</v>
      </c>
      <c r="E384" s="28"/>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4" t="s">
        <v>1077</v>
      </c>
      <c r="C385" s="25" t="s">
        <v>728</v>
      </c>
      <c r="D385" s="25" t="s">
        <v>1329</v>
      </c>
      <c r="E385" s="28"/>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4" t="s">
        <v>1077</v>
      </c>
      <c r="C386" s="25" t="s">
        <v>728</v>
      </c>
      <c r="D386" s="25" t="s">
        <v>1330</v>
      </c>
      <c r="E386" s="28"/>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4" t="s">
        <v>1077</v>
      </c>
      <c r="C387" s="25" t="s">
        <v>728</v>
      </c>
      <c r="D387" s="25" t="s">
        <v>1331</v>
      </c>
      <c r="E387" s="28"/>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4" t="s">
        <v>1077</v>
      </c>
      <c r="C388" s="25" t="s">
        <v>728</v>
      </c>
      <c r="D388" s="25" t="s">
        <v>1332</v>
      </c>
      <c r="E388" s="28"/>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4" t="s">
        <v>1077</v>
      </c>
      <c r="C389" s="25" t="s">
        <v>791</v>
      </c>
      <c r="D389" s="25" t="s">
        <v>1333</v>
      </c>
      <c r="E389" s="28"/>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4" t="s">
        <v>1077</v>
      </c>
      <c r="C390" s="25" t="s">
        <v>791</v>
      </c>
      <c r="D390" s="25" t="s">
        <v>1231</v>
      </c>
      <c r="E390" s="28"/>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4" t="s">
        <v>1077</v>
      </c>
      <c r="C391" s="25" t="s">
        <v>791</v>
      </c>
      <c r="D391" s="25" t="s">
        <v>1334</v>
      </c>
      <c r="E391" s="28"/>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4" t="s">
        <v>1077</v>
      </c>
      <c r="C392" s="25" t="s">
        <v>1335</v>
      </c>
      <c r="D392" s="25" t="s">
        <v>1336</v>
      </c>
      <c r="E392" s="28"/>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4" t="s">
        <v>1077</v>
      </c>
      <c r="C393" s="25" t="s">
        <v>1335</v>
      </c>
      <c r="D393" s="25" t="s">
        <v>1337</v>
      </c>
      <c r="E393" s="28"/>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4" t="s">
        <v>1077</v>
      </c>
      <c r="C394" s="25" t="s">
        <v>1335</v>
      </c>
      <c r="D394" s="25" t="s">
        <v>1338</v>
      </c>
      <c r="E394" s="28"/>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4" t="s">
        <v>1077</v>
      </c>
      <c r="C395" s="25" t="s">
        <v>1335</v>
      </c>
      <c r="D395" s="25" t="s">
        <v>1339</v>
      </c>
      <c r="E395" s="28"/>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4" t="s">
        <v>1077</v>
      </c>
      <c r="C396" s="25" t="s">
        <v>1335</v>
      </c>
      <c r="D396" s="24" t="s">
        <v>1109</v>
      </c>
      <c r="E396" s="28"/>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4" t="s">
        <v>1077</v>
      </c>
      <c r="C397" s="25" t="s">
        <v>1335</v>
      </c>
      <c r="D397" s="25" t="s">
        <v>1340</v>
      </c>
      <c r="E397" s="28"/>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4" t="s">
        <v>1077</v>
      </c>
      <c r="C398" s="25" t="s">
        <v>1335</v>
      </c>
      <c r="D398" s="25" t="s">
        <v>1341</v>
      </c>
      <c r="E398" s="28"/>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4" t="s">
        <v>1077</v>
      </c>
      <c r="C399" s="25" t="s">
        <v>1335</v>
      </c>
      <c r="D399" s="25" t="s">
        <v>1342</v>
      </c>
      <c r="E399" s="28"/>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4" t="s">
        <v>1077</v>
      </c>
      <c r="C400" s="25" t="s">
        <v>1335</v>
      </c>
      <c r="D400" s="25" t="s">
        <v>1052</v>
      </c>
      <c r="E400" s="28"/>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4" t="s">
        <v>1077</v>
      </c>
      <c r="C401" s="25" t="s">
        <v>1335</v>
      </c>
      <c r="D401" s="25" t="s">
        <v>1343</v>
      </c>
      <c r="E401" s="28"/>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4" t="s">
        <v>1077</v>
      </c>
      <c r="C402" s="25" t="s">
        <v>1335</v>
      </c>
      <c r="D402" s="25" t="s">
        <v>1344</v>
      </c>
      <c r="E402" s="28"/>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4" t="s">
        <v>1077</v>
      </c>
      <c r="C403" s="25" t="s">
        <v>1335</v>
      </c>
      <c r="D403" s="25" t="s">
        <v>1345</v>
      </c>
      <c r="E403" s="28"/>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4" t="s">
        <v>1077</v>
      </c>
      <c r="C404" s="25" t="s">
        <v>1335</v>
      </c>
      <c r="D404" s="25" t="s">
        <v>1346</v>
      </c>
      <c r="E404" s="28"/>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4" t="s">
        <v>1077</v>
      </c>
      <c r="C405" s="25" t="s">
        <v>1335</v>
      </c>
      <c r="D405" s="25" t="s">
        <v>1347</v>
      </c>
      <c r="E405" s="28"/>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4" t="s">
        <v>1077</v>
      </c>
      <c r="C406" s="25" t="s">
        <v>1335</v>
      </c>
      <c r="D406" s="25" t="s">
        <v>1348</v>
      </c>
      <c r="E406" s="28"/>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4" t="s">
        <v>1077</v>
      </c>
      <c r="C407" s="25" t="s">
        <v>1335</v>
      </c>
      <c r="D407" s="25" t="s">
        <v>1349</v>
      </c>
      <c r="E407" s="28"/>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4" t="s">
        <v>1077</v>
      </c>
      <c r="C408" s="25" t="s">
        <v>1335</v>
      </c>
      <c r="D408" s="25" t="s">
        <v>1350</v>
      </c>
      <c r="E408" s="28"/>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4" t="s">
        <v>1077</v>
      </c>
      <c r="C409" s="25" t="s">
        <v>1335</v>
      </c>
      <c r="D409" s="25" t="s">
        <v>1356</v>
      </c>
      <c r="E409" s="28"/>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4" t="s">
        <v>1077</v>
      </c>
      <c r="C410" s="25" t="s">
        <v>1335</v>
      </c>
      <c r="D410" s="25" t="s">
        <v>1373</v>
      </c>
      <c r="E410" s="28"/>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4" t="s">
        <v>1077</v>
      </c>
      <c r="C411" s="25" t="s">
        <v>1387</v>
      </c>
      <c r="D411" s="25" t="s">
        <v>1391</v>
      </c>
      <c r="E411" s="28"/>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4" t="s">
        <v>1077</v>
      </c>
      <c r="C412" s="25" t="s">
        <v>1387</v>
      </c>
      <c r="D412" s="25" t="s">
        <v>1406</v>
      </c>
      <c r="E412" s="28"/>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4" t="s">
        <v>1077</v>
      </c>
      <c r="C413" s="25" t="s">
        <v>1387</v>
      </c>
      <c r="D413" s="25" t="s">
        <v>1416</v>
      </c>
      <c r="E413" s="28"/>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4" t="s">
        <v>1077</v>
      </c>
      <c r="C414" s="25" t="s">
        <v>1387</v>
      </c>
      <c r="D414" s="25" t="s">
        <v>1417</v>
      </c>
      <c r="E414" s="28"/>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4" t="s">
        <v>1077</v>
      </c>
      <c r="C415" s="25" t="s">
        <v>1387</v>
      </c>
      <c r="D415" s="25" t="s">
        <v>1418</v>
      </c>
      <c r="E415" s="28"/>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4" t="s">
        <v>1077</v>
      </c>
      <c r="C416" s="25" t="s">
        <v>1387</v>
      </c>
      <c r="D416" s="25" t="s">
        <v>1144</v>
      </c>
      <c r="E416" s="28"/>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4" t="s">
        <v>1077</v>
      </c>
      <c r="C417" s="25" t="s">
        <v>1387</v>
      </c>
      <c r="D417" s="24" t="s">
        <v>1419</v>
      </c>
      <c r="E417" s="28"/>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4" t="s">
        <v>1077</v>
      </c>
      <c r="C418" s="25" t="s">
        <v>1387</v>
      </c>
      <c r="D418" s="25" t="s">
        <v>1420</v>
      </c>
      <c r="E418" s="28"/>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4" t="s">
        <v>1077</v>
      </c>
      <c r="C419" s="25" t="s">
        <v>1387</v>
      </c>
      <c r="D419" s="25" t="s">
        <v>1422</v>
      </c>
      <c r="E419" s="28"/>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4" t="s">
        <v>1077</v>
      </c>
      <c r="C420" s="25" t="s">
        <v>1387</v>
      </c>
      <c r="D420" s="25" t="s">
        <v>1429</v>
      </c>
      <c r="E420" s="28"/>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4" t="s">
        <v>1077</v>
      </c>
      <c r="C421" s="25" t="s">
        <v>1434</v>
      </c>
      <c r="D421" s="25" t="s">
        <v>1435</v>
      </c>
      <c r="E421" s="28"/>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4" t="s">
        <v>1077</v>
      </c>
      <c r="C422" s="25" t="s">
        <v>1434</v>
      </c>
      <c r="D422" s="24" t="s">
        <v>1101</v>
      </c>
      <c r="E422" s="28"/>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4" t="s">
        <v>1077</v>
      </c>
      <c r="C423" s="25" t="s">
        <v>1434</v>
      </c>
      <c r="D423" s="24" t="s">
        <v>1443</v>
      </c>
      <c r="E423" s="28"/>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4" t="s">
        <v>1077</v>
      </c>
      <c r="C424" s="25" t="s">
        <v>1434</v>
      </c>
      <c r="D424" s="25" t="s">
        <v>1448</v>
      </c>
      <c r="E424" s="28"/>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4" t="s">
        <v>1077</v>
      </c>
      <c r="C425" s="25" t="s">
        <v>1434</v>
      </c>
      <c r="D425" s="25" t="s">
        <v>1449</v>
      </c>
      <c r="E425" s="28"/>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4" t="s">
        <v>1077</v>
      </c>
      <c r="C426" s="25" t="s">
        <v>1434</v>
      </c>
      <c r="D426" s="25" t="s">
        <v>1451</v>
      </c>
      <c r="E426" s="28"/>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4" t="s">
        <v>1077</v>
      </c>
      <c r="C427" s="25" t="s">
        <v>1434</v>
      </c>
      <c r="D427" s="25" t="s">
        <v>1456</v>
      </c>
      <c r="E427" s="28"/>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4" t="s">
        <v>1077</v>
      </c>
      <c r="C428" s="25" t="s">
        <v>1434</v>
      </c>
      <c r="D428" s="25" t="s">
        <v>1458</v>
      </c>
      <c r="E428" s="28"/>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4" t="s">
        <v>1077</v>
      </c>
      <c r="C429" s="25" t="s">
        <v>1434</v>
      </c>
      <c r="D429" s="25" t="s">
        <v>1466</v>
      </c>
      <c r="E429" s="28"/>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4" t="s">
        <v>1077</v>
      </c>
      <c r="C430" s="25" t="s">
        <v>1434</v>
      </c>
      <c r="D430" s="25" t="s">
        <v>1471</v>
      </c>
      <c r="E430" s="28"/>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4" t="s">
        <v>1077</v>
      </c>
      <c r="C431" s="25" t="s">
        <v>1434</v>
      </c>
      <c r="D431" s="25" t="s">
        <v>1475</v>
      </c>
      <c r="E431" s="28"/>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4" t="s">
        <v>1077</v>
      </c>
      <c r="C432" s="25" t="s">
        <v>1434</v>
      </c>
      <c r="D432" s="25" t="s">
        <v>1481</v>
      </c>
      <c r="E432" s="28"/>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4" t="s">
        <v>1077</v>
      </c>
      <c r="C433" s="25" t="s">
        <v>1434</v>
      </c>
      <c r="D433" s="24" t="s">
        <v>1486</v>
      </c>
      <c r="E433" s="28"/>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4" t="s">
        <v>1077</v>
      </c>
      <c r="C434" s="25" t="s">
        <v>1434</v>
      </c>
      <c r="D434" s="25" t="s">
        <v>1492</v>
      </c>
      <c r="E434" s="28"/>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4" t="s">
        <v>1077</v>
      </c>
      <c r="C435" s="25" t="s">
        <v>1434</v>
      </c>
      <c r="D435" s="25" t="s">
        <v>1497</v>
      </c>
      <c r="E435" s="28"/>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4" t="s">
        <v>1077</v>
      </c>
      <c r="C436" s="25" t="s">
        <v>1434</v>
      </c>
      <c r="D436" s="25" t="s">
        <v>1501</v>
      </c>
      <c r="E436" s="28"/>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4" t="s">
        <v>1077</v>
      </c>
      <c r="C437" s="25" t="s">
        <v>1434</v>
      </c>
      <c r="D437" s="25" t="s">
        <v>1506</v>
      </c>
      <c r="E437" s="28"/>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4" t="s">
        <v>1077</v>
      </c>
      <c r="C438" s="25" t="s">
        <v>1434</v>
      </c>
      <c r="D438" s="25" t="s">
        <v>1515</v>
      </c>
      <c r="E438" s="28"/>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4" t="s">
        <v>1077</v>
      </c>
      <c r="C439" s="25" t="s">
        <v>1434</v>
      </c>
      <c r="D439" s="25" t="s">
        <v>1519</v>
      </c>
      <c r="E439" s="28"/>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4" t="s">
        <v>1077</v>
      </c>
      <c r="C440" s="25" t="s">
        <v>1434</v>
      </c>
      <c r="D440" s="25" t="s">
        <v>1523</v>
      </c>
      <c r="E440" s="28"/>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4" t="s">
        <v>1077</v>
      </c>
      <c r="C441" s="25" t="s">
        <v>1434</v>
      </c>
      <c r="D441" s="25" t="s">
        <v>1524</v>
      </c>
      <c r="E441" s="28"/>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4" t="s">
        <v>1077</v>
      </c>
      <c r="C442" s="25" t="s">
        <v>1434</v>
      </c>
      <c r="D442" s="25" t="s">
        <v>1528</v>
      </c>
      <c r="E442" s="28"/>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4" t="s">
        <v>1077</v>
      </c>
      <c r="C443" s="25" t="s">
        <v>1533</v>
      </c>
      <c r="D443" s="25" t="s">
        <v>1534</v>
      </c>
      <c r="E443" s="28"/>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4" t="s">
        <v>1077</v>
      </c>
      <c r="C444" s="25" t="s">
        <v>1533</v>
      </c>
      <c r="D444" s="25" t="s">
        <v>1536</v>
      </c>
      <c r="E444" s="28"/>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4" t="s">
        <v>1077</v>
      </c>
      <c r="C445" s="25" t="s">
        <v>1533</v>
      </c>
      <c r="D445" s="25" t="s">
        <v>1537</v>
      </c>
      <c r="E445" s="28"/>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4" t="s">
        <v>1077</v>
      </c>
      <c r="C446" s="25" t="s">
        <v>1533</v>
      </c>
      <c r="D446" s="25" t="s">
        <v>1539</v>
      </c>
      <c r="E446" s="28"/>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4" t="s">
        <v>1077</v>
      </c>
      <c r="C447" s="25" t="s">
        <v>1533</v>
      </c>
      <c r="D447" s="25" t="s">
        <v>1542</v>
      </c>
      <c r="E447" s="28"/>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4" t="s">
        <v>1077</v>
      </c>
      <c r="C448" s="24" t="s">
        <v>1533</v>
      </c>
      <c r="D448" s="24" t="s">
        <v>1546</v>
      </c>
      <c r="E448" s="28"/>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4" t="s">
        <v>1077</v>
      </c>
      <c r="C449" s="24" t="s">
        <v>1533</v>
      </c>
      <c r="D449" s="24" t="s">
        <v>1551</v>
      </c>
      <c r="E449" s="28"/>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4" t="s">
        <v>1077</v>
      </c>
      <c r="C450" s="24" t="s">
        <v>1533</v>
      </c>
      <c r="D450" s="24" t="s">
        <v>1553</v>
      </c>
      <c r="E450" s="28"/>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4" t="s">
        <v>1077</v>
      </c>
      <c r="C451" s="24" t="s">
        <v>1533</v>
      </c>
      <c r="D451" s="24" t="s">
        <v>1555</v>
      </c>
      <c r="E451" s="28"/>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4" t="s">
        <v>1118</v>
      </c>
      <c r="C452" s="24" t="s">
        <v>714</v>
      </c>
      <c r="D452" s="24" t="s">
        <v>741</v>
      </c>
      <c r="E452" s="28"/>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4" t="s">
        <v>1118</v>
      </c>
      <c r="C453" s="24" t="s">
        <v>714</v>
      </c>
      <c r="D453" s="24" t="s">
        <v>1052</v>
      </c>
      <c r="E453" s="28"/>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4" t="s">
        <v>1118</v>
      </c>
      <c r="C454" s="24" t="s">
        <v>714</v>
      </c>
      <c r="D454" s="24" t="s">
        <v>1163</v>
      </c>
      <c r="E454" s="28"/>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4" t="s">
        <v>1118</v>
      </c>
      <c r="C455" s="24" t="s">
        <v>714</v>
      </c>
      <c r="D455" s="24" t="s">
        <v>1567</v>
      </c>
      <c r="E455" s="28"/>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4" t="s">
        <v>1118</v>
      </c>
      <c r="C456" s="24" t="s">
        <v>714</v>
      </c>
      <c r="D456" s="24" t="s">
        <v>1134</v>
      </c>
      <c r="E456" s="28"/>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4" t="s">
        <v>1118</v>
      </c>
      <c r="C457" s="24" t="s">
        <v>714</v>
      </c>
      <c r="D457" s="24" t="s">
        <v>1179</v>
      </c>
      <c r="E457" s="28"/>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4" t="s">
        <v>1118</v>
      </c>
      <c r="C458" s="24" t="s">
        <v>714</v>
      </c>
      <c r="D458" s="24" t="s">
        <v>1142</v>
      </c>
      <c r="E458" s="28"/>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4" t="s">
        <v>1118</v>
      </c>
      <c r="C459" s="24" t="s">
        <v>714</v>
      </c>
      <c r="D459" s="24" t="s">
        <v>1184</v>
      </c>
      <c r="E459" s="26"/>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4" t="s">
        <v>1118</v>
      </c>
      <c r="C460" s="24" t="s">
        <v>880</v>
      </c>
      <c r="D460" s="24" t="s">
        <v>72</v>
      </c>
      <c r="E460" s="26" t="s">
        <v>578</v>
      </c>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4" t="s">
        <v>1118</v>
      </c>
      <c r="C461" s="24" t="s">
        <v>925</v>
      </c>
      <c r="D461" s="24" t="s">
        <v>1173</v>
      </c>
      <c r="E461" s="26"/>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4" t="s">
        <v>1118</v>
      </c>
      <c r="C462" s="24" t="s">
        <v>925</v>
      </c>
      <c r="D462" s="24" t="s">
        <v>1165</v>
      </c>
      <c r="E462" s="26"/>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4" t="s">
        <v>1118</v>
      </c>
      <c r="C463" s="24" t="s">
        <v>925</v>
      </c>
      <c r="D463" s="24" t="s">
        <v>1144</v>
      </c>
      <c r="E463" s="26"/>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4" t="s">
        <v>1118</v>
      </c>
      <c r="C464" s="24" t="s">
        <v>925</v>
      </c>
      <c r="D464" s="24" t="s">
        <v>1158</v>
      </c>
      <c r="E464" s="28"/>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4" t="s">
        <v>1118</v>
      </c>
      <c r="C465" s="24" t="s">
        <v>925</v>
      </c>
      <c r="D465" s="24" t="s">
        <v>1135</v>
      </c>
      <c r="E465" s="28"/>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4" t="s">
        <v>1118</v>
      </c>
      <c r="C466" s="24" t="s">
        <v>1583</v>
      </c>
      <c r="D466" s="24" t="s">
        <v>1584</v>
      </c>
      <c r="E466" s="28"/>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4" t="s">
        <v>1118</v>
      </c>
      <c r="C467" s="24" t="s">
        <v>1583</v>
      </c>
      <c r="D467" s="24" t="s">
        <v>1585</v>
      </c>
      <c r="E467" s="28"/>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4" t="s">
        <v>1118</v>
      </c>
      <c r="C468" s="24" t="s">
        <v>1583</v>
      </c>
      <c r="D468" s="24" t="s">
        <v>745</v>
      </c>
      <c r="E468" s="28"/>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4" t="s">
        <v>1118</v>
      </c>
      <c r="C469" s="24" t="s">
        <v>1583</v>
      </c>
      <c r="D469" s="24" t="s">
        <v>1586</v>
      </c>
      <c r="E469" s="28"/>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4" t="s">
        <v>1118</v>
      </c>
      <c r="C470" s="24" t="s">
        <v>1583</v>
      </c>
      <c r="D470" s="24" t="s">
        <v>1587</v>
      </c>
      <c r="E470" s="28"/>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4" t="s">
        <v>1118</v>
      </c>
      <c r="C471" s="24" t="s">
        <v>1583</v>
      </c>
      <c r="D471" s="24" t="s">
        <v>1589</v>
      </c>
      <c r="E471" s="28"/>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4" t="s">
        <v>1118</v>
      </c>
      <c r="C472" s="24" t="s">
        <v>1583</v>
      </c>
      <c r="D472" s="24" t="s">
        <v>1591</v>
      </c>
      <c r="E472" s="28"/>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4" t="s">
        <v>1118</v>
      </c>
      <c r="C473" s="24" t="s">
        <v>1583</v>
      </c>
      <c r="D473" s="24" t="s">
        <v>1592</v>
      </c>
      <c r="E473" s="28"/>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4" t="s">
        <v>1118</v>
      </c>
      <c r="C474" s="24" t="s">
        <v>1583</v>
      </c>
      <c r="D474" s="24" t="s">
        <v>1595</v>
      </c>
      <c r="E474" s="28"/>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4" t="s">
        <v>1118</v>
      </c>
      <c r="C475" s="24" t="s">
        <v>1583</v>
      </c>
      <c r="D475" s="24" t="s">
        <v>1598</v>
      </c>
      <c r="E475" s="28"/>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4" t="s">
        <v>1118</v>
      </c>
      <c r="C476" s="24" t="s">
        <v>1583</v>
      </c>
      <c r="D476" s="24" t="s">
        <v>1599</v>
      </c>
      <c r="E476" s="28"/>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4" t="s">
        <v>1118</v>
      </c>
      <c r="C477" s="24" t="s">
        <v>1583</v>
      </c>
      <c r="D477" s="24" t="s">
        <v>1602</v>
      </c>
      <c r="E477" s="28"/>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4" t="s">
        <v>1118</v>
      </c>
      <c r="C478" s="24" t="s">
        <v>1571</v>
      </c>
      <c r="D478" s="24" t="s">
        <v>1606</v>
      </c>
      <c r="E478" s="28"/>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4" t="s">
        <v>1118</v>
      </c>
      <c r="C479" s="24" t="s">
        <v>1571</v>
      </c>
      <c r="D479" s="24" t="s">
        <v>1166</v>
      </c>
      <c r="E479" s="28"/>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4" t="s">
        <v>1118</v>
      </c>
      <c r="C480" s="24" t="s">
        <v>1571</v>
      </c>
      <c r="D480" s="24" t="s">
        <v>1180</v>
      </c>
      <c r="E480" s="28"/>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4" t="s">
        <v>1118</v>
      </c>
      <c r="C481" s="24" t="s">
        <v>1571</v>
      </c>
      <c r="D481" s="24" t="s">
        <v>1159</v>
      </c>
      <c r="E481" s="28"/>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4" t="s">
        <v>1118</v>
      </c>
      <c r="C482" s="24" t="s">
        <v>1571</v>
      </c>
      <c r="D482" s="24" t="s">
        <v>1143</v>
      </c>
      <c r="E482" s="28"/>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4" t="s">
        <v>1118</v>
      </c>
      <c r="C483" s="24" t="s">
        <v>1571</v>
      </c>
      <c r="D483" s="24" t="s">
        <v>1137</v>
      </c>
      <c r="E483" s="28"/>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4" t="s">
        <v>1118</v>
      </c>
      <c r="C484" s="24" t="s">
        <v>1571</v>
      </c>
      <c r="D484" s="24" t="s">
        <v>1169</v>
      </c>
      <c r="E484" s="28"/>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4" t="s">
        <v>1118</v>
      </c>
      <c r="C485" s="24" t="s">
        <v>1571</v>
      </c>
      <c r="D485" s="24" t="s">
        <v>1140</v>
      </c>
      <c r="E485" s="28"/>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4" t="s">
        <v>1118</v>
      </c>
      <c r="C486" s="24" t="s">
        <v>1571</v>
      </c>
      <c r="D486" s="24" t="s">
        <v>1620</v>
      </c>
      <c r="E486" s="28"/>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4" t="s">
        <v>1118</v>
      </c>
      <c r="C487" s="24" t="s">
        <v>1571</v>
      </c>
      <c r="D487" s="24" t="s">
        <v>1190</v>
      </c>
      <c r="E487" s="28"/>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4" t="s">
        <v>1118</v>
      </c>
      <c r="C488" s="24" t="s">
        <v>1571</v>
      </c>
      <c r="D488" s="24" t="s">
        <v>807</v>
      </c>
      <c r="E488" s="28"/>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4" t="s">
        <v>1118</v>
      </c>
      <c r="C489" s="24" t="s">
        <v>1571</v>
      </c>
      <c r="D489" s="24" t="s">
        <v>1146</v>
      </c>
      <c r="E489" s="26"/>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4" t="s">
        <v>1118</v>
      </c>
      <c r="C490" s="24" t="s">
        <v>1571</v>
      </c>
      <c r="D490" s="24" t="s">
        <v>1621</v>
      </c>
      <c r="E490" s="26" t="s">
        <v>578</v>
      </c>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4" t="s">
        <v>1118</v>
      </c>
      <c r="C491" s="24" t="s">
        <v>1571</v>
      </c>
      <c r="D491" s="24" t="s">
        <v>1145</v>
      </c>
      <c r="E491" s="26"/>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4" t="s">
        <v>1118</v>
      </c>
      <c r="C492" s="24" t="s">
        <v>1571</v>
      </c>
      <c r="D492" s="24" t="s">
        <v>1622</v>
      </c>
      <c r="E492" s="26"/>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4" t="s">
        <v>1118</v>
      </c>
      <c r="C493" s="24" t="s">
        <v>1571</v>
      </c>
      <c r="D493" s="24" t="s">
        <v>1155</v>
      </c>
      <c r="E493" s="26"/>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4" t="s">
        <v>1118</v>
      </c>
      <c r="C494" s="24" t="s">
        <v>1571</v>
      </c>
      <c r="D494" s="24" t="s">
        <v>1178</v>
      </c>
      <c r="E494" s="28"/>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4" t="s">
        <v>1118</v>
      </c>
      <c r="C495" s="24" t="s">
        <v>1571</v>
      </c>
      <c r="D495" s="24" t="s">
        <v>772</v>
      </c>
      <c r="E495" s="28"/>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4" t="s">
        <v>1118</v>
      </c>
      <c r="C496" s="24" t="s">
        <v>1571</v>
      </c>
      <c r="D496" s="24" t="s">
        <v>1193</v>
      </c>
      <c r="E496" s="28"/>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4" t="s">
        <v>1118</v>
      </c>
      <c r="C497" s="24" t="s">
        <v>1571</v>
      </c>
      <c r="D497" s="24" t="s">
        <v>1188</v>
      </c>
      <c r="E497" s="28"/>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4" t="s">
        <v>1118</v>
      </c>
      <c r="C498" s="24" t="s">
        <v>1571</v>
      </c>
      <c r="D498" s="24" t="s">
        <v>1623</v>
      </c>
      <c r="E498" s="28"/>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4" t="s">
        <v>1118</v>
      </c>
      <c r="C499" s="24" t="s">
        <v>1571</v>
      </c>
      <c r="D499" s="24" t="s">
        <v>784</v>
      </c>
      <c r="E499" s="28"/>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4" t="s">
        <v>1118</v>
      </c>
      <c r="C500" s="24" t="s">
        <v>1571</v>
      </c>
      <c r="D500" s="24" t="s">
        <v>1624</v>
      </c>
      <c r="E500" s="28"/>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4" t="s">
        <v>1118</v>
      </c>
      <c r="C501" s="24" t="s">
        <v>1571</v>
      </c>
      <c r="D501" s="24" t="s">
        <v>1164</v>
      </c>
      <c r="E501" s="28"/>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4" t="s">
        <v>1118</v>
      </c>
      <c r="C502" s="24" t="s">
        <v>1571</v>
      </c>
      <c r="D502" s="24" t="s">
        <v>1152</v>
      </c>
      <c r="E502" s="28"/>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4" t="s">
        <v>1118</v>
      </c>
      <c r="C503" s="24" t="s">
        <v>1571</v>
      </c>
      <c r="D503" s="24" t="s">
        <v>1185</v>
      </c>
      <c r="E503" s="28"/>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4" t="s">
        <v>1118</v>
      </c>
      <c r="C504" s="24" t="s">
        <v>1571</v>
      </c>
      <c r="D504" s="24" t="s">
        <v>1172</v>
      </c>
      <c r="E504" s="28"/>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4" t="s">
        <v>1118</v>
      </c>
      <c r="C505" s="24" t="s">
        <v>1571</v>
      </c>
      <c r="D505" s="24" t="s">
        <v>1625</v>
      </c>
      <c r="E505" s="28"/>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4" t="s">
        <v>1118</v>
      </c>
      <c r="C506" s="24" t="s">
        <v>1571</v>
      </c>
      <c r="D506" s="24" t="s">
        <v>1149</v>
      </c>
      <c r="E506" s="28"/>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4" t="s">
        <v>1118</v>
      </c>
      <c r="C507" s="24" t="s">
        <v>1571</v>
      </c>
      <c r="D507" s="24" t="s">
        <v>1200</v>
      </c>
      <c r="E507" s="28"/>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4" t="s">
        <v>1118</v>
      </c>
      <c r="C508" s="24" t="s">
        <v>1571</v>
      </c>
      <c r="D508" s="24" t="s">
        <v>766</v>
      </c>
      <c r="E508" s="28"/>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4" t="s">
        <v>1118</v>
      </c>
      <c r="C509" s="24" t="s">
        <v>1571</v>
      </c>
      <c r="D509" s="24" t="s">
        <v>735</v>
      </c>
      <c r="E509" s="28"/>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4" t="s">
        <v>1118</v>
      </c>
      <c r="C510" s="24" t="s">
        <v>1571</v>
      </c>
      <c r="D510" s="24" t="s">
        <v>1572</v>
      </c>
      <c r="E510" s="28"/>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4" t="s">
        <v>1118</v>
      </c>
      <c r="C511" s="24" t="s">
        <v>1571</v>
      </c>
      <c r="D511" s="24" t="s">
        <v>715</v>
      </c>
      <c r="E511" s="28"/>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4" t="s">
        <v>1118</v>
      </c>
      <c r="C512" s="24" t="s">
        <v>1571</v>
      </c>
      <c r="D512" s="24" t="s">
        <v>1626</v>
      </c>
      <c r="E512" s="28"/>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4" t="s">
        <v>1118</v>
      </c>
      <c r="C513" s="24" t="s">
        <v>1571</v>
      </c>
      <c r="D513" s="24" t="s">
        <v>1194</v>
      </c>
      <c r="E513" s="28"/>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4" t="s">
        <v>1118</v>
      </c>
      <c r="C514" s="24" t="s">
        <v>1571</v>
      </c>
      <c r="D514" s="24" t="s">
        <v>1157</v>
      </c>
      <c r="E514" s="28"/>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4" t="s">
        <v>1118</v>
      </c>
      <c r="C515" s="24" t="s">
        <v>1571</v>
      </c>
      <c r="D515" s="24" t="s">
        <v>1203</v>
      </c>
      <c r="E515" s="28"/>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4" t="s">
        <v>1118</v>
      </c>
      <c r="C516" s="24" t="s">
        <v>1571</v>
      </c>
      <c r="D516" s="24" t="s">
        <v>1136</v>
      </c>
      <c r="E516" s="28"/>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4" t="s">
        <v>1118</v>
      </c>
      <c r="C517" s="24" t="s">
        <v>1571</v>
      </c>
      <c r="D517" s="24" t="s">
        <v>1627</v>
      </c>
      <c r="E517" s="28"/>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4" t="s">
        <v>1118</v>
      </c>
      <c r="C518" s="24" t="s">
        <v>1571</v>
      </c>
      <c r="D518" s="24" t="s">
        <v>1162</v>
      </c>
      <c r="E518" s="28"/>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4" t="s">
        <v>1118</v>
      </c>
      <c r="C519" s="24" t="s">
        <v>1571</v>
      </c>
      <c r="D519" s="24" t="s">
        <v>1628</v>
      </c>
      <c r="E519" s="28"/>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4" t="s">
        <v>1118</v>
      </c>
      <c r="C520" s="24" t="s">
        <v>1571</v>
      </c>
      <c r="D520" s="24" t="s">
        <v>1141</v>
      </c>
      <c r="E520" s="28"/>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4" t="s">
        <v>1118</v>
      </c>
      <c r="C521" s="24" t="s">
        <v>1571</v>
      </c>
      <c r="D521" s="24" t="s">
        <v>1174</v>
      </c>
      <c r="E521" s="28"/>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4" t="s">
        <v>1118</v>
      </c>
      <c r="C522" s="24" t="s">
        <v>1563</v>
      </c>
      <c r="D522" s="24" t="s">
        <v>1187</v>
      </c>
      <c r="E522" s="28"/>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4" t="s">
        <v>1118</v>
      </c>
      <c r="C523" s="24" t="s">
        <v>1563</v>
      </c>
      <c r="D523" s="24" t="s">
        <v>1564</v>
      </c>
      <c r="E523" s="28"/>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4" t="s">
        <v>1118</v>
      </c>
      <c r="C524" s="24" t="s">
        <v>1563</v>
      </c>
      <c r="D524" s="24" t="s">
        <v>1175</v>
      </c>
      <c r="E524" s="28"/>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4" t="s">
        <v>1118</v>
      </c>
      <c r="C525" s="24" t="s">
        <v>1563</v>
      </c>
      <c r="D525" s="24" t="s">
        <v>1182</v>
      </c>
      <c r="E525" s="28"/>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4" t="s">
        <v>1118</v>
      </c>
      <c r="C526" s="24" t="s">
        <v>1563</v>
      </c>
      <c r="D526" s="24" t="s">
        <v>1160</v>
      </c>
      <c r="E526" s="28"/>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4" t="s">
        <v>1118</v>
      </c>
      <c r="C527" s="24" t="s">
        <v>1563</v>
      </c>
      <c r="D527" s="24" t="s">
        <v>1198</v>
      </c>
      <c r="E527" s="28"/>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4" t="s">
        <v>1118</v>
      </c>
      <c r="C528" s="24" t="s">
        <v>1563</v>
      </c>
      <c r="D528" s="24" t="s">
        <v>1167</v>
      </c>
      <c r="E528" s="28"/>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4" t="s">
        <v>1118</v>
      </c>
      <c r="C529" s="24" t="s">
        <v>1563</v>
      </c>
      <c r="D529" s="24" t="s">
        <v>1201</v>
      </c>
      <c r="E529" s="28"/>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4" t="s">
        <v>1118</v>
      </c>
      <c r="C530" s="24" t="s">
        <v>1563</v>
      </c>
      <c r="D530" s="24" t="s">
        <v>1191</v>
      </c>
      <c r="E530" s="28"/>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4" t="s">
        <v>1118</v>
      </c>
      <c r="C531" s="24" t="s">
        <v>1563</v>
      </c>
      <c r="D531" s="24" t="s">
        <v>1195</v>
      </c>
      <c r="E531" s="28"/>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4" t="s">
        <v>1118</v>
      </c>
      <c r="C532" s="24" t="s">
        <v>1563</v>
      </c>
      <c r="D532" s="24" t="s">
        <v>1204</v>
      </c>
      <c r="E532" s="28"/>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4" t="s">
        <v>1118</v>
      </c>
      <c r="C533" s="24" t="s">
        <v>1563</v>
      </c>
      <c r="D533" s="24" t="s">
        <v>1153</v>
      </c>
      <c r="E533" s="28"/>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4" t="s">
        <v>1118</v>
      </c>
      <c r="C534" s="24" t="s">
        <v>1563</v>
      </c>
      <c r="D534" s="24" t="s">
        <v>1147</v>
      </c>
      <c r="E534" s="28"/>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4" t="s">
        <v>1118</v>
      </c>
      <c r="C535" s="24" t="s">
        <v>1563</v>
      </c>
      <c r="D535" s="24" t="s">
        <v>1138</v>
      </c>
      <c r="E535" s="28"/>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4" t="s">
        <v>1118</v>
      </c>
      <c r="C536" s="24" t="s">
        <v>1563</v>
      </c>
      <c r="D536" s="24" t="s">
        <v>1629</v>
      </c>
      <c r="E536" s="28"/>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9"/>
      <c r="C537" s="29"/>
      <c r="D537" s="29"/>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9"/>
      <c r="C538" s="29"/>
      <c r="D538" s="29"/>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9"/>
      <c r="C539" s="29"/>
      <c r="D539" s="29"/>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autoFilter ref="$B$1:$D$539">
    <sortState ref="B1:D539">
      <sortCondition ref="C1:C539"/>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8.63"/>
    <col customWidth="1" min="3" max="3" width="5.63"/>
    <col customWidth="1" min="4" max="4" width="42.75"/>
    <col customWidth="1" min="5" max="5" width="25.88"/>
    <col customWidth="1" min="6" max="6" width="7.13"/>
    <col customWidth="1" min="7" max="7" width="71.88"/>
    <col customWidth="1" min="8" max="8" width="7.13"/>
    <col customWidth="1" min="9" max="10" width="30.5"/>
    <col customWidth="1" min="11" max="11" width="14.13"/>
    <col customWidth="1" min="12" max="12" width="26.13"/>
  </cols>
  <sheetData>
    <row r="1">
      <c r="A1" s="29" t="s">
        <v>702</v>
      </c>
      <c r="B1" s="29" t="s">
        <v>704</v>
      </c>
      <c r="C1" s="29" t="s">
        <v>705</v>
      </c>
      <c r="D1" s="29" t="s">
        <v>706</v>
      </c>
      <c r="E1" s="5" t="s">
        <v>707</v>
      </c>
      <c r="F1" s="29" t="s">
        <v>708</v>
      </c>
      <c r="G1" s="29" t="s">
        <v>709</v>
      </c>
      <c r="H1" s="29" t="s">
        <v>710</v>
      </c>
      <c r="I1" s="29" t="s">
        <v>711</v>
      </c>
      <c r="J1" s="29" t="s">
        <v>712</v>
      </c>
      <c r="K1" s="29"/>
      <c r="L1" s="29"/>
      <c r="M1" s="20"/>
      <c r="N1" s="20"/>
      <c r="O1" s="20"/>
      <c r="P1" s="20"/>
      <c r="Q1" s="20"/>
      <c r="R1" s="20"/>
      <c r="S1" s="20"/>
      <c r="T1" s="20"/>
      <c r="U1" s="20"/>
      <c r="V1" s="20"/>
      <c r="W1" s="20"/>
      <c r="X1" s="20"/>
      <c r="Y1" s="20"/>
      <c r="Z1" s="20"/>
    </row>
    <row r="2" ht="45.0" customHeight="1">
      <c r="A2" s="30">
        <v>46045.46465277778</v>
      </c>
      <c r="B2" s="29" t="s">
        <v>714</v>
      </c>
      <c r="C2" s="29" t="s">
        <v>715</v>
      </c>
      <c r="D2" s="31" t="s">
        <v>716</v>
      </c>
      <c r="E2" s="29" t="s">
        <v>717</v>
      </c>
      <c r="F2" s="32" t="str">
        <f t="shared" ref="F2:F4" si="1">HYPERLINK("https://drive.google.com/file/d/1jY5AOMxBcfmm33Ib5dQ-4p2hDrQcITZG/view?usp=drivesdk", "사진보기")</f>
        <v>사진보기</v>
      </c>
      <c r="G2" s="29" t="s">
        <v>718</v>
      </c>
      <c r="H2" s="32" t="str">
        <f t="shared" ref="H2:H4" si="2">HYPERLINK("https://drive.google.com/thumbnail?sz=w1000&amp;id=1QfxrLON-sw1MXjxna5Qdpx4lNKKmezip", "서명보기")</f>
        <v>서명보기</v>
      </c>
      <c r="I2" s="29" t="s">
        <v>720</v>
      </c>
      <c r="J2" s="29"/>
      <c r="K2" s="20"/>
      <c r="L2" s="20"/>
      <c r="M2" s="20"/>
      <c r="N2" s="20"/>
      <c r="O2" s="20"/>
      <c r="P2" s="20"/>
      <c r="Q2" s="20"/>
      <c r="R2" s="20"/>
      <c r="S2" s="20"/>
      <c r="T2" s="20"/>
      <c r="U2" s="20"/>
      <c r="V2" s="20"/>
      <c r="W2" s="20"/>
      <c r="X2" s="20"/>
      <c r="Y2" s="20"/>
      <c r="Z2" s="20"/>
    </row>
    <row r="3" ht="45.0" customHeight="1">
      <c r="A3" s="30">
        <v>46045.46465277778</v>
      </c>
      <c r="B3" s="29" t="s">
        <v>721</v>
      </c>
      <c r="C3" s="29" t="s">
        <v>715</v>
      </c>
      <c r="D3" s="31" t="s">
        <v>716</v>
      </c>
      <c r="E3" s="29" t="s">
        <v>717</v>
      </c>
      <c r="F3" s="32" t="str">
        <f t="shared" si="1"/>
        <v>사진보기</v>
      </c>
      <c r="G3" s="29" t="s">
        <v>718</v>
      </c>
      <c r="H3" s="32" t="str">
        <f t="shared" si="2"/>
        <v>서명보기</v>
      </c>
      <c r="I3" s="29"/>
      <c r="J3" s="29" t="s">
        <v>722</v>
      </c>
      <c r="K3" s="20"/>
      <c r="L3" s="20"/>
      <c r="M3" s="20"/>
      <c r="N3" s="20"/>
      <c r="O3" s="20"/>
      <c r="P3" s="20"/>
      <c r="Q3" s="20"/>
      <c r="R3" s="20"/>
      <c r="S3" s="20"/>
      <c r="T3" s="20"/>
      <c r="U3" s="20"/>
      <c r="V3" s="20"/>
      <c r="W3" s="20"/>
      <c r="X3" s="20"/>
      <c r="Y3" s="20"/>
      <c r="Z3" s="20"/>
    </row>
    <row r="4" ht="45.0" customHeight="1">
      <c r="A4" s="30">
        <v>46045.46465277778</v>
      </c>
      <c r="B4" s="29" t="s">
        <v>724</v>
      </c>
      <c r="C4" s="29" t="s">
        <v>715</v>
      </c>
      <c r="D4" s="31" t="s">
        <v>716</v>
      </c>
      <c r="E4" s="29" t="s">
        <v>717</v>
      </c>
      <c r="F4" s="32" t="str">
        <f t="shared" si="1"/>
        <v>사진보기</v>
      </c>
      <c r="G4" s="29" t="s">
        <v>718</v>
      </c>
      <c r="H4" s="32" t="str">
        <f t="shared" si="2"/>
        <v>서명보기</v>
      </c>
      <c r="I4" s="29"/>
      <c r="J4" s="29"/>
      <c r="K4" s="20"/>
      <c r="L4" s="20"/>
      <c r="M4" s="20"/>
      <c r="N4" s="20"/>
      <c r="O4" s="20"/>
      <c r="P4" s="20"/>
      <c r="Q4" s="20"/>
      <c r="R4" s="20"/>
      <c r="S4" s="20"/>
      <c r="T4" s="20"/>
      <c r="U4" s="20"/>
      <c r="V4" s="20"/>
      <c r="W4" s="20"/>
      <c r="X4" s="20"/>
      <c r="Y4" s="20"/>
      <c r="Z4" s="20"/>
    </row>
    <row r="5" ht="45.0" customHeight="1">
      <c r="A5" s="30">
        <v>46045.48333333333</v>
      </c>
      <c r="B5" s="29" t="s">
        <v>725</v>
      </c>
      <c r="C5" s="29" t="s">
        <v>726</v>
      </c>
      <c r="D5" s="31" t="s">
        <v>716</v>
      </c>
      <c r="E5" s="29" t="s">
        <v>727</v>
      </c>
      <c r="F5" s="32" t="str">
        <f>HYPERLINK("https://drive.google.com/file/d/1xWyOmfloctkW2BiDgeamU-gqAru_65R0/view?usp=drivesdk", "사진보기")</f>
        <v>사진보기</v>
      </c>
      <c r="G5" s="29" t="s">
        <v>730</v>
      </c>
      <c r="H5" s="32" t="str">
        <f>HYPERLINK("https://drive.google.com/thumbnail?sz=w1000&amp;id=1cNBeNn0UWIuKaCJXGsw5OQOA6j49opjo", "서명보기")</f>
        <v>서명보기</v>
      </c>
      <c r="I5" s="29" t="s">
        <v>731</v>
      </c>
      <c r="J5" s="20"/>
      <c r="K5" s="20"/>
      <c r="L5" s="20"/>
      <c r="M5" s="20"/>
      <c r="N5" s="20"/>
      <c r="O5" s="20"/>
      <c r="P5" s="20"/>
      <c r="Q5" s="20"/>
      <c r="R5" s="20"/>
      <c r="S5" s="20"/>
      <c r="T5" s="20"/>
      <c r="U5" s="20"/>
      <c r="V5" s="20"/>
      <c r="W5" s="20"/>
      <c r="X5" s="20"/>
      <c r="Y5" s="20"/>
      <c r="Z5" s="20"/>
    </row>
    <row r="6">
      <c r="A6" s="30">
        <v>46045.46465277778</v>
      </c>
      <c r="B6" s="29" t="s">
        <v>732</v>
      </c>
      <c r="C6" s="29" t="s">
        <v>715</v>
      </c>
      <c r="D6" s="31" t="s">
        <v>716</v>
      </c>
      <c r="E6" s="29" t="s">
        <v>717</v>
      </c>
      <c r="F6" s="32" t="str">
        <f>HYPERLINK("https://drive.google.com/file/d/1jY5AOMxBcfmm33Ib5dQ-4p2hDrQcITZG/view?usp=drivesdk", "사진보기")</f>
        <v>사진보기</v>
      </c>
      <c r="G6" s="29" t="s">
        <v>718</v>
      </c>
      <c r="H6" s="32" t="str">
        <f>HYPERLINK("https://drive.google.com/thumbnail?sz=w1000&amp;id=1QfxrLON-sw1MXjxna5Qdpx4lNKKmezip", "서명보기")</f>
        <v>서명보기</v>
      </c>
      <c r="I6" s="29"/>
      <c r="J6" s="29"/>
      <c r="K6" s="20"/>
      <c r="L6" s="20"/>
      <c r="M6" s="20"/>
      <c r="N6" s="20"/>
      <c r="O6" s="20"/>
      <c r="P6" s="20"/>
      <c r="Q6" s="20"/>
      <c r="R6" s="20"/>
      <c r="S6" s="20"/>
      <c r="T6" s="20"/>
      <c r="U6" s="20"/>
      <c r="V6" s="20"/>
      <c r="W6" s="20"/>
      <c r="X6" s="20"/>
      <c r="Y6" s="20"/>
      <c r="Z6" s="20"/>
    </row>
    <row r="7" ht="45.0" customHeight="1">
      <c r="A7" s="30">
        <v>46045.67217592592</v>
      </c>
      <c r="B7" s="29" t="s">
        <v>734</v>
      </c>
      <c r="C7" s="29" t="s">
        <v>735</v>
      </c>
      <c r="D7" s="31" t="s">
        <v>716</v>
      </c>
      <c r="E7" s="20"/>
      <c r="F7" s="32" t="str">
        <f>HYPERLINK("https://drive.google.com/file/d/1mWzGreypom5yl7st7ZYqVja4vGqVP4Ux/view?usp=drivesdk", "사진보기")</f>
        <v>사진보기</v>
      </c>
      <c r="G7" s="29" t="s">
        <v>737</v>
      </c>
      <c r="H7" s="32" t="str">
        <f>HYPERLINK("https://drive.google.com/thumbnail?sz=w1000&amp;id=18V0p9BLNrYNvuWIPtQR1yYBsD-59gmD-", "서명보기")</f>
        <v>서명보기</v>
      </c>
      <c r="I7" s="29" t="s">
        <v>720</v>
      </c>
      <c r="J7" s="29" t="s">
        <v>722</v>
      </c>
      <c r="K7" s="20"/>
      <c r="L7" s="20"/>
      <c r="M7" s="20"/>
      <c r="N7" s="20"/>
      <c r="O7" s="20"/>
      <c r="P7" s="20"/>
      <c r="Q7" s="20"/>
      <c r="R7" s="20"/>
      <c r="S7" s="20"/>
      <c r="T7" s="20"/>
      <c r="U7" s="20"/>
      <c r="V7" s="20"/>
      <c r="W7" s="20"/>
      <c r="X7" s="20"/>
      <c r="Y7" s="20"/>
      <c r="Z7" s="20"/>
    </row>
    <row r="8" ht="45.0" customHeight="1">
      <c r="A8" s="30">
        <v>46048.39908564815</v>
      </c>
      <c r="B8" s="29" t="s">
        <v>734</v>
      </c>
      <c r="C8" s="29" t="s">
        <v>715</v>
      </c>
      <c r="D8" s="31" t="s">
        <v>716</v>
      </c>
      <c r="E8" s="20"/>
      <c r="F8" s="32" t="str">
        <f>HYPERLINK("https://drive.google.com/file/d/1cpajh8Cml72GhZ9cxCUBLgVpTmoNR0Gq/view?usp=drivesdk", "사진보기")</f>
        <v>사진보기</v>
      </c>
      <c r="G8" s="29" t="s">
        <v>739</v>
      </c>
      <c r="H8" s="32" t="str">
        <f>HYPERLINK("https://drive.google.com/thumbnail?sz=w1000&amp;id=1G5-1rNtUqFa09IQOHxQCWirvuyHyl2nZ", "서명보기")</f>
        <v>서명보기</v>
      </c>
      <c r="I8" s="29" t="s">
        <v>720</v>
      </c>
      <c r="J8" s="29" t="s">
        <v>722</v>
      </c>
      <c r="K8" s="20"/>
      <c r="L8" s="20"/>
      <c r="M8" s="20"/>
      <c r="N8" s="20"/>
      <c r="O8" s="20"/>
      <c r="P8" s="20"/>
      <c r="Q8" s="20"/>
      <c r="R8" s="20"/>
      <c r="S8" s="20"/>
      <c r="T8" s="20"/>
      <c r="U8" s="20"/>
      <c r="V8" s="20"/>
      <c r="W8" s="20"/>
      <c r="X8" s="20"/>
      <c r="Y8" s="20"/>
      <c r="Z8" s="20"/>
    </row>
    <row r="9" ht="45.0" customHeight="1">
      <c r="A9" s="30">
        <v>46048.463900462964</v>
      </c>
      <c r="B9" s="29" t="s">
        <v>714</v>
      </c>
      <c r="C9" s="29" t="s">
        <v>741</v>
      </c>
      <c r="D9" s="31" t="s">
        <v>716</v>
      </c>
      <c r="E9" s="29" t="s">
        <v>714</v>
      </c>
      <c r="F9" s="32" t="str">
        <f>HYPERLINK("https://drive.google.com/file/d/1lDuQN5vpQ4Pfx5BleGH2bEdhzujpAXx2/view?usp=drivesdk", "사진보기")</f>
        <v>사진보기</v>
      </c>
      <c r="G9" s="29" t="s">
        <v>742</v>
      </c>
      <c r="H9" s="32" t="str">
        <f>HYPERLINK("https://drive.google.com/thumbnail?sz=w1000&amp;id=1bbnI43tOx-v6HrlNqtmXWBaLcG4BrVdq", "서명보기")</f>
        <v>서명보기</v>
      </c>
      <c r="I9" s="20"/>
      <c r="J9" s="29" t="s">
        <v>722</v>
      </c>
      <c r="K9" s="20"/>
      <c r="L9" s="20"/>
      <c r="M9" s="20"/>
      <c r="N9" s="20"/>
      <c r="O9" s="20"/>
      <c r="P9" s="20"/>
      <c r="Q9" s="20"/>
      <c r="R9" s="20"/>
      <c r="S9" s="20"/>
      <c r="T9" s="20"/>
      <c r="U9" s="20"/>
      <c r="V9" s="20"/>
      <c r="W9" s="20"/>
      <c r="X9" s="20"/>
      <c r="Y9" s="20"/>
      <c r="Z9" s="20"/>
    </row>
    <row r="10" ht="45.0" customHeight="1">
      <c r="A10" s="30">
        <v>46048.46971064815</v>
      </c>
      <c r="B10" s="29" t="s">
        <v>744</v>
      </c>
      <c r="C10" s="29" t="s">
        <v>745</v>
      </c>
      <c r="D10" s="31" t="s">
        <v>716</v>
      </c>
      <c r="E10" s="29" t="s">
        <v>746</v>
      </c>
      <c r="F10" s="32" t="str">
        <f>HYPERLINK("https://drive.google.com/file/d/13AJxa0lg_insyupdhEk3qbc93H60e5dL/view?usp=drivesdk", "사진보기")</f>
        <v>사진보기</v>
      </c>
      <c r="G10" s="29" t="s">
        <v>745</v>
      </c>
      <c r="H10" s="32" t="str">
        <f>HYPERLINK("https://drive.google.com/thumbnail?sz=w1000&amp;id=1xVtDnadjiPuQxCAUPV1FF7sYwINFbTBd", "서명보기")</f>
        <v>서명보기</v>
      </c>
      <c r="I10" s="20"/>
      <c r="J10" s="29" t="s">
        <v>722</v>
      </c>
      <c r="K10" s="20"/>
      <c r="L10" s="20"/>
      <c r="M10" s="20"/>
      <c r="N10" s="20"/>
      <c r="O10" s="20"/>
      <c r="P10" s="20"/>
      <c r="Q10" s="20"/>
      <c r="R10" s="20"/>
      <c r="S10" s="20"/>
      <c r="T10" s="20"/>
      <c r="U10" s="20"/>
      <c r="V10" s="20"/>
      <c r="W10" s="20"/>
      <c r="X10" s="20"/>
      <c r="Y10" s="20"/>
      <c r="Z10" s="20"/>
    </row>
    <row r="11" ht="45.0" customHeight="1">
      <c r="A11" s="30">
        <v>46049.88569444444</v>
      </c>
      <c r="B11" s="29" t="s">
        <v>734</v>
      </c>
      <c r="C11" s="29" t="s">
        <v>735</v>
      </c>
      <c r="D11" s="31" t="s">
        <v>716</v>
      </c>
      <c r="E11" s="20"/>
      <c r="F11" s="32" t="str">
        <f>HYPERLINK("https://drive.google.com/file/d/1P4ETf5j1jOiInCduXtSj9wNqbgivIdGz/view?usp=drivesdk", "사진보기")</f>
        <v>사진보기</v>
      </c>
      <c r="G11" s="29" t="s">
        <v>737</v>
      </c>
      <c r="H11" s="32" t="str">
        <f>HYPERLINK("https://drive.google.com/thumbnail?sz=w1000&amp;id=1cym5Sb10zY5vkPbfGFa_IMjaxGZXKACL", "서명보기")</f>
        <v>서명보기</v>
      </c>
      <c r="I11" s="29" t="s">
        <v>749</v>
      </c>
      <c r="J11" s="29" t="s">
        <v>750</v>
      </c>
      <c r="K11" s="20"/>
      <c r="L11" s="20"/>
      <c r="M11" s="20"/>
      <c r="N11" s="20"/>
      <c r="O11" s="20"/>
      <c r="P11" s="20"/>
      <c r="Q11" s="20"/>
      <c r="R11" s="20"/>
      <c r="S11" s="20"/>
      <c r="T11" s="20"/>
      <c r="U11" s="20"/>
      <c r="V11" s="20"/>
      <c r="W11" s="20"/>
      <c r="X11" s="20"/>
      <c r="Y11" s="20"/>
      <c r="Z11" s="20"/>
    </row>
    <row r="12" ht="45.0" customHeight="1">
      <c r="A12" s="30">
        <v>46050.41100694444</v>
      </c>
      <c r="B12" s="29" t="s">
        <v>734</v>
      </c>
      <c r="C12" s="29" t="s">
        <v>715</v>
      </c>
      <c r="D12" s="31" t="s">
        <v>752</v>
      </c>
      <c r="E12" s="20"/>
      <c r="F12" s="32" t="str">
        <f>HYPERLINK("https://drive.google.com/file/d/1UoqlSVZylf0vZ1ENdGY2dd5y1HkF5dwq/view?usp=drivesdk", "사진보기")</f>
        <v>사진보기</v>
      </c>
      <c r="G12" s="29" t="s">
        <v>715</v>
      </c>
      <c r="H12" s="32" t="str">
        <f>HYPERLINK("https://drive.google.com/thumbnail?sz=w1000&amp;id=1a3apdyz1G40jNedqw8xkT25IhvpetxD4", "서명보기")</f>
        <v>서명보기</v>
      </c>
      <c r="I12" s="29" t="s">
        <v>749</v>
      </c>
      <c r="J12" s="29" t="s">
        <v>750</v>
      </c>
      <c r="K12" s="20"/>
      <c r="L12" s="20"/>
      <c r="M12" s="20"/>
      <c r="N12" s="20"/>
      <c r="O12" s="20"/>
      <c r="P12" s="20"/>
      <c r="Q12" s="20"/>
      <c r="R12" s="20"/>
      <c r="S12" s="20"/>
      <c r="T12" s="20"/>
      <c r="U12" s="20"/>
      <c r="V12" s="20"/>
      <c r="W12" s="20"/>
      <c r="X12" s="20"/>
      <c r="Y12" s="20"/>
      <c r="Z12" s="20"/>
    </row>
    <row r="13" ht="45.0" customHeight="1">
      <c r="A13" s="30">
        <v>46052.31722222222</v>
      </c>
      <c r="B13" s="29" t="s">
        <v>734</v>
      </c>
      <c r="C13" s="29" t="s">
        <v>715</v>
      </c>
      <c r="D13" s="31" t="s">
        <v>716</v>
      </c>
      <c r="E13" s="20"/>
      <c r="F13" s="32" t="str">
        <f>HYPERLINK("https://drive.google.com/file/d/1_UnmlhQj0gRnUfxNLqa4UH5wsw_k1a-o/view?usp=drivesdk", "사진보기")</f>
        <v>사진보기</v>
      </c>
      <c r="G13" s="29" t="s">
        <v>739</v>
      </c>
      <c r="H13" s="32" t="str">
        <f>HYPERLINK("https://drive.google.com/thumbnail?sz=w1000&amp;id=1_uFeayFryS8T3GXFnIODWvSU9Gax1yZt", "서명보기")</f>
        <v>서명보기</v>
      </c>
      <c r="I13" s="29" t="s">
        <v>749</v>
      </c>
      <c r="J13" s="29" t="s">
        <v>750</v>
      </c>
      <c r="K13" s="20"/>
      <c r="L13" s="20"/>
      <c r="M13" s="20"/>
      <c r="N13" s="20"/>
      <c r="O13" s="20"/>
      <c r="P13" s="20"/>
      <c r="Q13" s="20"/>
      <c r="R13" s="20"/>
      <c r="S13" s="20"/>
      <c r="T13" s="20"/>
      <c r="U13" s="20"/>
      <c r="V13" s="20"/>
      <c r="W13" s="20"/>
      <c r="X13" s="20"/>
      <c r="Y13" s="20"/>
      <c r="Z13" s="20"/>
    </row>
    <row r="14" ht="45.0" customHeight="1">
      <c r="A14" s="30">
        <v>46052.63149305555</v>
      </c>
      <c r="B14" s="29" t="s">
        <v>725</v>
      </c>
      <c r="C14" s="29" t="s">
        <v>72</v>
      </c>
      <c r="D14" s="31" t="s">
        <v>716</v>
      </c>
      <c r="E14" s="29" t="s">
        <v>756</v>
      </c>
      <c r="F14" s="32" t="str">
        <f>HYPERLINK("https://drive.google.com/file/d/1zT8vH7EqJMGXhJKwZKqHEUZoK-P2pYJb/view?usp=drivesdk", "사진보기")</f>
        <v>사진보기</v>
      </c>
      <c r="G14" s="29" t="s">
        <v>758</v>
      </c>
      <c r="H14" s="32" t="str">
        <f>HYPERLINK("https://drive.google.com/thumbnail?sz=w1000&amp;id=1GegphxvSPos12tvLa67vN_lgH963DylW", "서명보기")</f>
        <v>서명보기</v>
      </c>
      <c r="I14" s="29" t="s">
        <v>759</v>
      </c>
      <c r="J14" s="20"/>
      <c r="K14" s="20"/>
      <c r="L14" s="20"/>
      <c r="M14" s="20"/>
      <c r="N14" s="20"/>
      <c r="O14" s="20"/>
      <c r="P14" s="20"/>
      <c r="Q14" s="20"/>
      <c r="R14" s="20"/>
      <c r="S14" s="20"/>
      <c r="T14" s="20"/>
      <c r="U14" s="20"/>
      <c r="V14" s="20"/>
      <c r="W14" s="20"/>
      <c r="X14" s="20"/>
      <c r="Y14" s="20"/>
      <c r="Z14" s="20"/>
    </row>
    <row r="15" ht="45.0" customHeight="1">
      <c r="A15" s="30">
        <v>46056.468090277776</v>
      </c>
      <c r="B15" s="29" t="s">
        <v>734</v>
      </c>
      <c r="C15" s="29" t="s">
        <v>715</v>
      </c>
      <c r="D15" s="31" t="s">
        <v>716</v>
      </c>
      <c r="E15" s="29" t="s">
        <v>761</v>
      </c>
      <c r="F15" s="32" t="str">
        <f>HYPERLINK("https://drive.google.com/file/d/1waBNXMSxZv_IIVRybFF8vLa4yrUWppGO/view?usp=drivesdk", "사진보기")</f>
        <v>사진보기</v>
      </c>
      <c r="G15" s="29" t="s">
        <v>739</v>
      </c>
      <c r="H15" s="32" t="str">
        <f>HYPERLINK("https://drive.google.com/thumbnail?sz=w1000&amp;id=1c_JbX80TTS34tL_mzHlURN_Hx5-BhwOW", "서명보기")</f>
        <v>서명보기</v>
      </c>
      <c r="I15" s="29" t="s">
        <v>762</v>
      </c>
      <c r="J15" s="29" t="s">
        <v>763</v>
      </c>
      <c r="K15" s="20"/>
      <c r="L15" s="20"/>
      <c r="M15" s="20"/>
      <c r="N15" s="20"/>
      <c r="O15" s="20"/>
      <c r="P15" s="20"/>
      <c r="Q15" s="20"/>
      <c r="R15" s="20"/>
      <c r="S15" s="20"/>
      <c r="T15" s="20"/>
      <c r="U15" s="20"/>
      <c r="V15" s="20"/>
      <c r="W15" s="20"/>
      <c r="X15" s="20"/>
      <c r="Y15" s="20"/>
      <c r="Z15" s="20"/>
    </row>
    <row r="16" ht="45.0" customHeight="1">
      <c r="A16" s="30">
        <v>46076.63894675926</v>
      </c>
      <c r="B16" s="29" t="s">
        <v>765</v>
      </c>
      <c r="C16" s="29" t="s">
        <v>766</v>
      </c>
      <c r="D16" s="31" t="s">
        <v>716</v>
      </c>
      <c r="E16" s="20"/>
      <c r="F16" s="32" t="str">
        <f>HYPERLINK("https://drive.google.com/file/d/1KgMsMbUbwOaVjMGMmC7fWQxgxPR9IU-9/view?usp=drivesdk", "사진보기")</f>
        <v>사진보기</v>
      </c>
      <c r="G16" s="29" t="s">
        <v>767</v>
      </c>
      <c r="H16" s="32" t="str">
        <f>HYPERLINK("https://drive.google.com/thumbnail?sz=w1000&amp;id=1M1A3gg5QzhlBTRCduVasnfj6-fJHRJPE", "서명보기")</f>
        <v>서명보기</v>
      </c>
      <c r="I16" s="20"/>
      <c r="J16" s="29" t="s">
        <v>769</v>
      </c>
      <c r="K16" s="20"/>
      <c r="L16" s="20"/>
      <c r="M16" s="20"/>
      <c r="N16" s="20"/>
      <c r="O16" s="20"/>
      <c r="P16" s="20"/>
      <c r="Q16" s="20"/>
      <c r="R16" s="20"/>
      <c r="S16" s="20"/>
      <c r="T16" s="20"/>
      <c r="U16" s="20"/>
      <c r="V16" s="20"/>
      <c r="W16" s="20"/>
      <c r="X16" s="20"/>
      <c r="Y16" s="20"/>
      <c r="Z16" s="20"/>
    </row>
    <row r="17" ht="45.0" customHeight="1">
      <c r="A17" s="30">
        <v>46076.65096064815</v>
      </c>
      <c r="B17" s="29" t="s">
        <v>734</v>
      </c>
      <c r="C17" s="29" t="s">
        <v>772</v>
      </c>
      <c r="D17" s="31" t="s">
        <v>716</v>
      </c>
      <c r="E17" s="20"/>
      <c r="F17" s="32" t="str">
        <f>HYPERLINK("https://drive.google.com/file/d/1PPLAdIbK7EnaMw2gEq3uWXPo-nl-dy62/view?usp=drivesdk", "사진보기")</f>
        <v>사진보기</v>
      </c>
      <c r="G17" s="29" t="s">
        <v>775</v>
      </c>
      <c r="H17" s="32" t="str">
        <f>HYPERLINK("https://drive.google.com/thumbnail?sz=w1000&amp;id=1ysH1_d5yVph6LXixzoRjaBMSDAazCoUw", "서명보기")</f>
        <v>서명보기</v>
      </c>
      <c r="I17" s="29" t="s">
        <v>777</v>
      </c>
      <c r="J17" s="29" t="s">
        <v>763</v>
      </c>
      <c r="K17" s="20"/>
      <c r="L17" s="20"/>
      <c r="M17" s="20"/>
      <c r="N17" s="20"/>
      <c r="O17" s="20"/>
      <c r="P17" s="20"/>
      <c r="Q17" s="20"/>
      <c r="R17" s="20"/>
      <c r="S17" s="20"/>
      <c r="T17" s="20"/>
      <c r="U17" s="20"/>
      <c r="V17" s="20"/>
      <c r="W17" s="20"/>
      <c r="X17" s="20"/>
      <c r="Y17" s="20"/>
      <c r="Z17" s="20"/>
    </row>
    <row r="18" ht="45.0" customHeight="1">
      <c r="A18" s="30">
        <v>46077.3406712963</v>
      </c>
      <c r="B18" s="29" t="s">
        <v>734</v>
      </c>
      <c r="C18" s="29" t="s">
        <v>715</v>
      </c>
      <c r="D18" s="31" t="s">
        <v>716</v>
      </c>
      <c r="E18" s="20"/>
      <c r="F18" s="32" t="str">
        <f>HYPERLINK("https://drive.google.com/file/d/1QzMiogUAfiQ2LexjtkwouxvnkoA9nLOR/view?usp=drivesdk", "사진보기")</f>
        <v>사진보기</v>
      </c>
      <c r="G18" s="29" t="s">
        <v>739</v>
      </c>
      <c r="H18" s="32" t="str">
        <f>HYPERLINK("https://drive.google.com/thumbnail?sz=w1000&amp;id=1G_kFM9-kk-ZCI3gPvlcdqtIgsc1JI-Fs", "서명보기")</f>
        <v>서명보기</v>
      </c>
      <c r="I18" s="29" t="s">
        <v>781</v>
      </c>
      <c r="J18" s="29" t="s">
        <v>781</v>
      </c>
      <c r="K18" s="29" t="s">
        <v>782</v>
      </c>
      <c r="L18" s="20"/>
      <c r="M18" s="20"/>
      <c r="N18" s="20"/>
      <c r="O18" s="20"/>
      <c r="P18" s="20"/>
      <c r="Q18" s="20"/>
      <c r="R18" s="20"/>
      <c r="S18" s="20"/>
      <c r="T18" s="20"/>
      <c r="U18" s="20"/>
      <c r="V18" s="20"/>
      <c r="W18" s="20"/>
      <c r="X18" s="20"/>
      <c r="Y18" s="20"/>
      <c r="Z18" s="20"/>
    </row>
    <row r="19" ht="45.0" customHeight="1">
      <c r="A19" s="30">
        <v>46078.62866898148</v>
      </c>
      <c r="B19" s="29" t="s">
        <v>734</v>
      </c>
      <c r="C19" s="29" t="s">
        <v>784</v>
      </c>
      <c r="D19" s="31" t="s">
        <v>716</v>
      </c>
      <c r="E19" s="20"/>
      <c r="F19" s="32" t="str">
        <f>HYPERLINK("https://drive.google.com/file/d/1EUTsVOYGY7d3rXCKsjZGLz_XoJgGpFRb/view?usp=drivesdk", "사진보기")</f>
        <v>사진보기</v>
      </c>
      <c r="G19" s="29" t="s">
        <v>786</v>
      </c>
      <c r="H19" s="32" t="str">
        <f>HYPERLINK("https://drive.google.com/thumbnail?sz=w1000&amp;id=1UnU12tcULPNyw0W2UHtM8cZ8aCTkTi6H", "서명보기")</f>
        <v>서명보기</v>
      </c>
      <c r="I19" s="29" t="s">
        <v>781</v>
      </c>
      <c r="J19" s="29" t="s">
        <v>781</v>
      </c>
      <c r="K19" s="29" t="s">
        <v>788</v>
      </c>
      <c r="L19" s="20"/>
      <c r="M19" s="20"/>
      <c r="N19" s="20"/>
      <c r="O19" s="20"/>
      <c r="P19" s="20"/>
      <c r="Q19" s="20"/>
      <c r="R19" s="20"/>
      <c r="S19" s="20"/>
      <c r="T19" s="20"/>
      <c r="U19" s="20"/>
      <c r="V19" s="20"/>
      <c r="W19" s="20"/>
      <c r="X19" s="20"/>
      <c r="Y19" s="20"/>
      <c r="Z19" s="20"/>
    </row>
    <row r="20" ht="45.0" customHeight="1">
      <c r="A20" s="30">
        <v>46080.4702662037</v>
      </c>
      <c r="B20" s="29" t="s">
        <v>734</v>
      </c>
      <c r="C20" s="29" t="s">
        <v>715</v>
      </c>
      <c r="D20" s="31" t="s">
        <v>716</v>
      </c>
      <c r="E20" s="29" t="s">
        <v>790</v>
      </c>
      <c r="F20" s="32" t="str">
        <f>HYPERLINK("https://drive.google.com/file/d/10VhRgs_BB-s6T0__FVaf1-OCCuhaJrCB/view?usp=drivesdk", "사진보기")</f>
        <v>사진보기</v>
      </c>
      <c r="G20" s="29" t="s">
        <v>739</v>
      </c>
      <c r="H20" s="32" t="str">
        <f>HYPERLINK("https://drive.google.com/thumbnail?sz=w1000&amp;id=1DCu-oOo4BSjIP7QigjXPMpKzjUldeB5d", "서명보기")</f>
        <v>서명보기</v>
      </c>
      <c r="I20" s="29" t="s">
        <v>781</v>
      </c>
      <c r="J20" s="29" t="s">
        <v>781</v>
      </c>
      <c r="K20" s="29" t="s">
        <v>794</v>
      </c>
      <c r="L20" s="20"/>
      <c r="M20" s="20"/>
      <c r="N20" s="20"/>
      <c r="O20" s="20"/>
      <c r="P20" s="20"/>
      <c r="Q20" s="20"/>
      <c r="R20" s="20"/>
      <c r="S20" s="20"/>
      <c r="T20" s="20"/>
      <c r="U20" s="20"/>
      <c r="V20" s="20"/>
      <c r="W20" s="20"/>
      <c r="X20" s="20"/>
      <c r="Y20" s="20"/>
      <c r="Z20" s="20"/>
    </row>
    <row r="21" ht="45.0" customHeight="1">
      <c r="A21" s="30">
        <v>46094.439039351855</v>
      </c>
      <c r="B21" s="29" t="s">
        <v>734</v>
      </c>
      <c r="C21" s="29" t="s">
        <v>715</v>
      </c>
      <c r="D21" s="31" t="s">
        <v>716</v>
      </c>
      <c r="E21" s="20"/>
      <c r="F21" s="32" t="str">
        <f>HYPERLINK("https://drive.google.com/file/d/1nkHihjzT5cidwL3Sp-dzFBGEMKgMd_zw/view?usp=drivesdk", "사진보기")</f>
        <v>사진보기</v>
      </c>
      <c r="G21" s="29" t="s">
        <v>739</v>
      </c>
      <c r="H21" s="32" t="str">
        <f>HYPERLINK("https://drive.google.com/thumbnail?sz=w1000&amp;id=1ciZTeboxL2a4s6vohoDkOTTSvPT5Cxdt", "서명보기")</f>
        <v>서명보기</v>
      </c>
      <c r="I21" s="29" t="s">
        <v>781</v>
      </c>
      <c r="J21" s="29" t="s">
        <v>781</v>
      </c>
      <c r="K21" s="29" t="s">
        <v>797</v>
      </c>
      <c r="L21" s="20"/>
      <c r="M21" s="20"/>
      <c r="N21" s="20"/>
      <c r="O21" s="20"/>
      <c r="P21" s="20"/>
      <c r="Q21" s="20"/>
      <c r="R21" s="20"/>
      <c r="S21" s="20"/>
      <c r="T21" s="20"/>
      <c r="U21" s="20"/>
      <c r="V21" s="20"/>
      <c r="W21" s="20"/>
      <c r="X21" s="20"/>
      <c r="Y21" s="20"/>
      <c r="Z21" s="20"/>
    </row>
    <row r="22" ht="45.0" customHeight="1">
      <c r="A22" s="30">
        <v>46098.40219907407</v>
      </c>
      <c r="B22" s="29" t="s">
        <v>734</v>
      </c>
      <c r="C22" s="29" t="s">
        <v>715</v>
      </c>
      <c r="D22" s="31" t="s">
        <v>716</v>
      </c>
      <c r="E22" s="29" t="s">
        <v>798</v>
      </c>
      <c r="F22" s="34" t="str">
        <f>HYPERLINK("https://drive.google.com/file/d/1o5R27VH5-CSpGjKtMUh99hdlpS4Fyq2j/view?usp=drivesdk", "사진보기")</f>
        <v>사진보기</v>
      </c>
      <c r="G22" s="29" t="s">
        <v>739</v>
      </c>
      <c r="H22" s="34" t="str">
        <f>HYPERLINK("https://drive.google.com/thumbnail?sz=w1000&amp;id=1vx47d8QUoNXO7OnIOj1nmfm3J19WleYi", "서명보기")</f>
        <v>서명보기</v>
      </c>
      <c r="I22" s="29" t="s">
        <v>749</v>
      </c>
      <c r="J22" s="29" t="s">
        <v>750</v>
      </c>
      <c r="K22" s="29" t="s">
        <v>800</v>
      </c>
      <c r="L22" s="20"/>
      <c r="M22" s="20"/>
      <c r="N22" s="20"/>
      <c r="O22" s="20"/>
      <c r="P22" s="20"/>
      <c r="Q22" s="20"/>
      <c r="R22" s="20"/>
      <c r="S22" s="20"/>
      <c r="T22" s="20"/>
      <c r="U22" s="20"/>
      <c r="V22" s="20"/>
      <c r="W22" s="20"/>
      <c r="X22" s="20"/>
      <c r="Y22" s="20"/>
      <c r="Z22" s="20"/>
    </row>
    <row r="23" ht="45.0" customHeight="1">
      <c r="A23" s="30">
        <v>46106.61820601852</v>
      </c>
      <c r="B23" s="29" t="s">
        <v>734</v>
      </c>
      <c r="C23" s="29" t="s">
        <v>715</v>
      </c>
      <c r="D23" s="31" t="s">
        <v>716</v>
      </c>
      <c r="E23" s="20"/>
      <c r="F23" s="34" t="str">
        <f>HYPERLINK("https://drive.google.com/file/d/1XSfby6NEm2pbcPSXWGQFDD6Nzv20Dl-K/view?usp=drivesdk", "사진보기")</f>
        <v>사진보기</v>
      </c>
      <c r="G23" s="29" t="s">
        <v>739</v>
      </c>
      <c r="H23" s="34" t="str">
        <f>HYPERLINK("https://drive.google.com/thumbnail?sz=w1000&amp;id=1kJt6nw_sI82V4tUHZc1gz6sRZNkxuDh5", "서명보기")</f>
        <v>서명보기</v>
      </c>
      <c r="I23" s="29" t="s">
        <v>804</v>
      </c>
      <c r="J23" s="29" t="s">
        <v>750</v>
      </c>
      <c r="K23" s="29" t="s">
        <v>805</v>
      </c>
      <c r="L23" s="20"/>
      <c r="M23" s="20"/>
      <c r="N23" s="20"/>
      <c r="O23" s="20"/>
      <c r="P23" s="20"/>
      <c r="Q23" s="20"/>
      <c r="R23" s="20"/>
      <c r="S23" s="20"/>
      <c r="T23" s="20"/>
      <c r="U23" s="20"/>
      <c r="V23" s="20"/>
      <c r="W23" s="20"/>
      <c r="X23" s="20"/>
      <c r="Y23" s="20"/>
      <c r="Z23" s="20"/>
    </row>
    <row r="24" ht="45.0" customHeight="1">
      <c r="A24" s="30">
        <v>46106.64099537037</v>
      </c>
      <c r="B24" s="29" t="s">
        <v>806</v>
      </c>
      <c r="C24" s="29" t="s">
        <v>807</v>
      </c>
      <c r="D24" s="31" t="s">
        <v>716</v>
      </c>
      <c r="E24" s="20"/>
      <c r="F24" s="34" t="str">
        <f>HYPERLINK("https://drive.google.com/file/d/1hcLPyEEfpO9fpyDsBO8aGe7KY8G9TxmO/view?usp=drivesdk", "사진보기")</f>
        <v>사진보기</v>
      </c>
      <c r="G24" s="29" t="s">
        <v>809</v>
      </c>
      <c r="H24" s="34" t="str">
        <f>HYPERLINK("https://drive.google.com/thumbnail?sz=w1000&amp;id=1HLX-p-p-Q324LU_qzbkCZtxJ6TjYCs5e", "서명보기")</f>
        <v>서명보기</v>
      </c>
      <c r="I24" s="29" t="s">
        <v>810</v>
      </c>
      <c r="J24" s="29" t="s">
        <v>811</v>
      </c>
      <c r="K24" s="29" t="s">
        <v>812</v>
      </c>
      <c r="L24" s="20"/>
      <c r="M24" s="20"/>
      <c r="N24" s="20"/>
      <c r="O24" s="20"/>
      <c r="P24" s="20"/>
      <c r="Q24" s="20"/>
      <c r="R24" s="20"/>
      <c r="S24" s="20"/>
      <c r="T24" s="20"/>
      <c r="U24" s="20"/>
      <c r="V24" s="20"/>
      <c r="W24" s="20"/>
      <c r="X24" s="20"/>
      <c r="Y24" s="20"/>
      <c r="Z24" s="20"/>
    </row>
    <row r="25" ht="45.0" customHeight="1">
      <c r="A25" s="30">
        <v>46107.32604166667</v>
      </c>
      <c r="B25" s="29" t="s">
        <v>814</v>
      </c>
      <c r="C25" s="29" t="s">
        <v>815</v>
      </c>
      <c r="D25" s="31" t="s">
        <v>716</v>
      </c>
      <c r="E25" s="29" t="s">
        <v>816</v>
      </c>
      <c r="F25" s="34" t="str">
        <f>HYPERLINK("https://drive.google.com/file/d/1jElgRqfpmIcVNe20FkleDo3vUDlkzkKM/view?usp=drivesdk", "사진보기")</f>
        <v>사진보기</v>
      </c>
      <c r="G25" s="29" t="s">
        <v>817</v>
      </c>
      <c r="H25" s="34" t="str">
        <f>HYPERLINK("https://drive.google.com/thumbnail?sz=w1000&amp;id=1_iFt_rXQ69hHkcZFpmP4ZVOG21Fjeubg", "서명보기")</f>
        <v>서명보기</v>
      </c>
      <c r="I25" s="20"/>
      <c r="J25" s="20"/>
      <c r="K25" s="29" t="s">
        <v>819</v>
      </c>
      <c r="L25" s="20"/>
      <c r="M25" s="20"/>
      <c r="N25" s="20"/>
      <c r="O25" s="20"/>
      <c r="P25" s="20"/>
      <c r="Q25" s="20"/>
      <c r="R25" s="20"/>
      <c r="S25" s="20"/>
      <c r="T25" s="20"/>
      <c r="U25" s="20"/>
      <c r="V25" s="20"/>
      <c r="W25" s="20"/>
      <c r="X25" s="20"/>
      <c r="Y25" s="20"/>
      <c r="Z25" s="20"/>
    </row>
    <row r="26" ht="45.0" customHeight="1">
      <c r="A26" s="30">
        <v>46107.33332175926</v>
      </c>
      <c r="B26" s="29" t="s">
        <v>806</v>
      </c>
      <c r="C26" s="29" t="s">
        <v>807</v>
      </c>
      <c r="D26" s="31" t="s">
        <v>716</v>
      </c>
      <c r="E26" s="20"/>
      <c r="F26" s="34" t="str">
        <f>HYPERLINK("https://drive.google.com/file/d/1FAh3zKtJjv1VMJc_3YeFpJfmxdOrQgnY/view?usp=drivesdk", "사진보기")</f>
        <v>사진보기</v>
      </c>
      <c r="G26" s="29" t="s">
        <v>821</v>
      </c>
      <c r="H26" s="34" t="str">
        <f>HYPERLINK("https://drive.google.com/thumbnail?sz=w1000&amp;id=1CbPgYHuIb5lx7A2HZGL_5qzOu2uPegJG", "서명보기")</f>
        <v>서명보기</v>
      </c>
      <c r="I26" s="29" t="s">
        <v>810</v>
      </c>
      <c r="J26" s="29" t="s">
        <v>811</v>
      </c>
      <c r="K26" s="29" t="s">
        <v>822</v>
      </c>
      <c r="L26" s="20"/>
      <c r="M26" s="20"/>
      <c r="N26" s="20"/>
      <c r="O26" s="20"/>
      <c r="P26" s="20"/>
      <c r="Q26" s="20"/>
      <c r="R26" s="20"/>
      <c r="S26" s="20"/>
      <c r="T26" s="20"/>
      <c r="U26" s="20"/>
      <c r="V26" s="20"/>
      <c r="W26" s="20"/>
      <c r="X26" s="20"/>
      <c r="Y26" s="20"/>
      <c r="Z26" s="20"/>
    </row>
    <row r="27" ht="45.0" customHeight="1">
      <c r="A27" s="30">
        <v>46108.32645833334</v>
      </c>
      <c r="B27" s="29" t="s">
        <v>814</v>
      </c>
      <c r="C27" s="29" t="s">
        <v>824</v>
      </c>
      <c r="D27" s="31" t="s">
        <v>716</v>
      </c>
      <c r="E27" s="20"/>
      <c r="F27" s="34" t="str">
        <f>HYPERLINK("https://drive.google.com/file/d/1cJq7iET8vCEsY0khL3ljH-7fCO9_GyXh/view?usp=drivesdk", "사진보기")</f>
        <v>사진보기</v>
      </c>
      <c r="G27" s="29" t="s">
        <v>825</v>
      </c>
      <c r="H27" s="34" t="str">
        <f>HYPERLINK("https://drive.google.com/thumbnail?sz=w1000&amp;id=1txNwhfDRHD0jbuEYZ5LBDwsziHj2FCLA", "서명보기")</f>
        <v>서명보기</v>
      </c>
      <c r="I27" s="20"/>
      <c r="J27" s="20"/>
      <c r="K27" s="29" t="s">
        <v>827</v>
      </c>
      <c r="L27" s="20"/>
      <c r="M27" s="20"/>
      <c r="N27" s="20"/>
      <c r="O27" s="20"/>
      <c r="P27" s="20"/>
      <c r="Q27" s="20"/>
      <c r="R27" s="20"/>
      <c r="S27" s="20"/>
      <c r="T27" s="20"/>
      <c r="U27" s="20"/>
      <c r="V27" s="20"/>
      <c r="W27" s="20"/>
      <c r="X27" s="20"/>
      <c r="Y27" s="20"/>
      <c r="Z27" s="20"/>
    </row>
    <row r="28" ht="45.0" customHeight="1">
      <c r="A28" s="30">
        <v>46108.33542824074</v>
      </c>
      <c r="B28" s="29" t="s">
        <v>806</v>
      </c>
      <c r="C28" s="29" t="s">
        <v>807</v>
      </c>
      <c r="D28" s="31" t="s">
        <v>716</v>
      </c>
      <c r="E28" s="29" t="s">
        <v>829</v>
      </c>
      <c r="F28" s="34" t="str">
        <f>HYPERLINK("https://drive.google.com/file/d/1fB6M05EAquY_sLtYAPxSv0XBcuiPraVH/view?usp=drivesdk", "사진보기")</f>
        <v>사진보기</v>
      </c>
      <c r="G28" s="29" t="s">
        <v>809</v>
      </c>
      <c r="H28" s="34" t="str">
        <f>HYPERLINK("https://drive.google.com/thumbnail?sz=w1000&amp;id=1ImXJHPmmAv_APP1Yd-Su2e-IIcDCxXkT", "서명보기")</f>
        <v>서명보기</v>
      </c>
      <c r="I28" s="29" t="s">
        <v>810</v>
      </c>
      <c r="J28" s="29" t="s">
        <v>811</v>
      </c>
      <c r="K28" s="29" t="s">
        <v>830</v>
      </c>
      <c r="L28" s="20"/>
      <c r="M28" s="20"/>
      <c r="N28" s="20"/>
      <c r="O28" s="20"/>
      <c r="P28" s="20"/>
      <c r="Q28" s="20"/>
      <c r="R28" s="20"/>
      <c r="S28" s="20"/>
      <c r="T28" s="20"/>
      <c r="U28" s="20"/>
      <c r="V28" s="20"/>
      <c r="W28" s="20"/>
      <c r="X28" s="20"/>
      <c r="Y28" s="20"/>
      <c r="Z28" s="20"/>
    </row>
    <row r="29" ht="45.0" customHeight="1">
      <c r="A29" s="30">
        <v>46112.334710648145</v>
      </c>
      <c r="B29" s="29" t="s">
        <v>806</v>
      </c>
      <c r="C29" s="29" t="s">
        <v>807</v>
      </c>
      <c r="D29" s="31" t="s">
        <v>716</v>
      </c>
      <c r="E29" s="29" t="s">
        <v>832</v>
      </c>
      <c r="F29" s="34" t="str">
        <f>HYPERLINK("https://drive.google.com/file/d/1sbUk25QL7nDfn3L6g1XDMQTGMjnPSbyb/view?usp=drivesdk", "사진보기")</f>
        <v>사진보기</v>
      </c>
      <c r="G29" s="29" t="s">
        <v>809</v>
      </c>
      <c r="H29" s="34" t="str">
        <f>HYPERLINK("https://drive.google.com/thumbnail?sz=w1000&amp;id=159thm0-a8ytSfW7RqwYxtsNwd0rbJpZ0", "서명보기")</f>
        <v>서명보기</v>
      </c>
      <c r="I29" s="29" t="s">
        <v>810</v>
      </c>
      <c r="J29" s="29" t="s">
        <v>811</v>
      </c>
      <c r="K29" s="29" t="s">
        <v>834</v>
      </c>
      <c r="L29" s="20"/>
      <c r="M29" s="20"/>
      <c r="N29" s="20"/>
      <c r="O29" s="20"/>
      <c r="P29" s="20"/>
      <c r="Q29" s="20"/>
      <c r="R29" s="20"/>
      <c r="S29" s="20"/>
      <c r="T29" s="20"/>
      <c r="U29" s="20"/>
      <c r="V29" s="20"/>
      <c r="W29" s="20"/>
      <c r="X29" s="20"/>
      <c r="Y29" s="20"/>
      <c r="Z29" s="20"/>
    </row>
    <row r="30" ht="45.0" customHeight="1">
      <c r="A30" s="30">
        <v>46113.33179398148</v>
      </c>
      <c r="B30" s="29" t="s">
        <v>814</v>
      </c>
      <c r="C30" s="29" t="s">
        <v>815</v>
      </c>
      <c r="D30" s="31" t="s">
        <v>716</v>
      </c>
      <c r="E30" s="20"/>
      <c r="F30" s="34" t="str">
        <f>HYPERLINK("https://drive.google.com/file/d/1ayABMHrTSVYOqkO0WhDUu_Zfr-rgrANN/view?usp=drivesdk", "사진보기")</f>
        <v>사진보기</v>
      </c>
      <c r="G30" s="29" t="s">
        <v>817</v>
      </c>
      <c r="H30" s="34" t="str">
        <f>HYPERLINK("https://drive.google.com/thumbnail?sz=w1000&amp;id=1kkG7CuAZHXrElrfz-X2ZPACqhEj1Ku1G", "서명보기")</f>
        <v>서명보기</v>
      </c>
      <c r="I30" s="20"/>
      <c r="J30" s="20"/>
      <c r="K30" s="29" t="s">
        <v>838</v>
      </c>
      <c r="L30" s="20"/>
      <c r="M30" s="20"/>
      <c r="N30" s="20"/>
      <c r="O30" s="20"/>
      <c r="P30" s="20"/>
      <c r="Q30" s="20"/>
      <c r="R30" s="20"/>
      <c r="S30" s="20"/>
      <c r="T30" s="20"/>
      <c r="U30" s="20"/>
      <c r="V30" s="20"/>
      <c r="W30" s="20"/>
      <c r="X30" s="20"/>
      <c r="Y30" s="20"/>
      <c r="Z30" s="20"/>
    </row>
    <row r="31" ht="45.0" customHeight="1">
      <c r="A31" s="30">
        <v>46113.33494212963</v>
      </c>
      <c r="B31" s="29" t="s">
        <v>806</v>
      </c>
      <c r="C31" s="29" t="s">
        <v>807</v>
      </c>
      <c r="D31" s="31" t="s">
        <v>716</v>
      </c>
      <c r="E31" s="20"/>
      <c r="F31" s="34" t="str">
        <f>HYPERLINK("https://drive.google.com/file/d/1l33TDRNGt8aHqyQeF3X6UG3Sghf6-yjM/view?usp=drivesdk", "사진보기")</f>
        <v>사진보기</v>
      </c>
      <c r="G31" s="29" t="s">
        <v>809</v>
      </c>
      <c r="H31" s="34" t="str">
        <f>HYPERLINK("https://drive.google.com/thumbnail?sz=w1000&amp;id=1Trrrt_mYHu2RvBhnxCwQziYQ52iR07_R", "서명보기")</f>
        <v>서명보기</v>
      </c>
      <c r="I31" s="29" t="s">
        <v>810</v>
      </c>
      <c r="J31" s="29" t="s">
        <v>811</v>
      </c>
      <c r="K31" s="29" t="s">
        <v>841</v>
      </c>
      <c r="L31" s="20"/>
      <c r="M31" s="20"/>
      <c r="N31" s="20"/>
      <c r="O31" s="20"/>
      <c r="P31" s="20"/>
      <c r="Q31" s="20"/>
      <c r="R31" s="20"/>
      <c r="S31" s="20"/>
      <c r="T31" s="20"/>
      <c r="U31" s="20"/>
      <c r="V31" s="20"/>
      <c r="W31" s="20"/>
      <c r="X31" s="20"/>
      <c r="Y31" s="20"/>
      <c r="Z31" s="20"/>
    </row>
    <row r="32" ht="45.0" customHeight="1">
      <c r="A32" s="30">
        <v>46114.33488425926</v>
      </c>
      <c r="B32" s="29" t="s">
        <v>806</v>
      </c>
      <c r="C32" s="29" t="s">
        <v>807</v>
      </c>
      <c r="D32" s="31" t="s">
        <v>716</v>
      </c>
      <c r="E32" s="20"/>
      <c r="F32" s="34" t="str">
        <f>HYPERLINK("https://drive.google.com/file/d/15aAJsvEys8SsNg5xmJgN0xdOufl0TbWL/view?usp=drivesdk", "사진보기")</f>
        <v>사진보기</v>
      </c>
      <c r="G32" s="29" t="s">
        <v>809</v>
      </c>
      <c r="H32" s="34" t="str">
        <f>HYPERLINK("https://drive.google.com/thumbnail?sz=w1000&amp;id=1_fFwQY5P4Rr34kI-yl7DEsSDyj7K4Mi7", "서명보기")</f>
        <v>서명보기</v>
      </c>
      <c r="I32" s="29" t="s">
        <v>810</v>
      </c>
      <c r="J32" s="29" t="s">
        <v>811</v>
      </c>
      <c r="K32" s="29" t="s">
        <v>843</v>
      </c>
      <c r="L32" s="20"/>
      <c r="M32" s="20"/>
      <c r="N32" s="20"/>
      <c r="O32" s="20"/>
      <c r="P32" s="20"/>
      <c r="Q32" s="20"/>
      <c r="R32" s="20"/>
      <c r="S32" s="20"/>
      <c r="T32" s="20"/>
      <c r="U32" s="20"/>
      <c r="V32" s="20"/>
      <c r="W32" s="20"/>
      <c r="X32" s="20"/>
      <c r="Y32" s="20"/>
      <c r="Z32" s="20"/>
    </row>
    <row r="33" ht="45.0" customHeight="1">
      <c r="A33" s="30">
        <v>46115.33672453704</v>
      </c>
      <c r="B33" s="29" t="s">
        <v>806</v>
      </c>
      <c r="C33" s="29" t="s">
        <v>807</v>
      </c>
      <c r="D33" s="31" t="s">
        <v>716</v>
      </c>
      <c r="E33" s="20"/>
      <c r="F33" s="34" t="str">
        <f>HYPERLINK("https://drive.google.com/file/d/1bvst6U0hK_jjY1lRt8luOFaoLLXAkpSh/view?usp=drivesdk", "사진보기")</f>
        <v>사진보기</v>
      </c>
      <c r="G33" s="29" t="s">
        <v>809</v>
      </c>
      <c r="H33" s="34" t="str">
        <f>HYPERLINK("https://drive.google.com/thumbnail?sz=w1000&amp;id=1MyeEOOiOA94whBkPvtyf0_7j8XemkvWm", "서명보기")</f>
        <v>서명보기</v>
      </c>
      <c r="I33" s="29" t="s">
        <v>810</v>
      </c>
      <c r="J33" s="29" t="s">
        <v>811</v>
      </c>
      <c r="K33" s="29" t="s">
        <v>846</v>
      </c>
      <c r="L33" s="20"/>
      <c r="M33" s="20"/>
      <c r="N33" s="20"/>
      <c r="O33" s="20"/>
      <c r="P33" s="20"/>
      <c r="Q33" s="20"/>
      <c r="R33" s="20"/>
      <c r="S33" s="20"/>
      <c r="T33" s="20"/>
      <c r="U33" s="20"/>
      <c r="V33" s="20"/>
      <c r="W33" s="20"/>
      <c r="X33" s="20"/>
      <c r="Y33" s="20"/>
      <c r="Z33" s="20"/>
    </row>
    <row r="34" ht="45.0" customHeight="1">
      <c r="A34" s="30">
        <v>46118.33347222222</v>
      </c>
      <c r="B34" s="29" t="s">
        <v>814</v>
      </c>
      <c r="C34" s="29" t="s">
        <v>815</v>
      </c>
      <c r="D34" s="31" t="s">
        <v>716</v>
      </c>
      <c r="E34" s="20"/>
      <c r="F34" s="34" t="str">
        <f>HYPERLINK("https://drive.google.com/file/d/1uTrXiiIXLYokFf0oE-lLVROi51GE5oTn/view?usp=drivesdk", "사진보기")</f>
        <v>사진보기</v>
      </c>
      <c r="G34" s="29" t="s">
        <v>817</v>
      </c>
      <c r="H34" s="34" t="str">
        <f>HYPERLINK("https://drive.google.com/thumbnail?sz=w1000&amp;id=14rl67LmXW_CYiIL-iuimdsKdFHAHM1AS", "서명보기")</f>
        <v>서명보기</v>
      </c>
      <c r="I34" s="20"/>
      <c r="J34" s="20"/>
      <c r="K34" s="29" t="s">
        <v>848</v>
      </c>
      <c r="L34" s="20"/>
      <c r="M34" s="20"/>
      <c r="N34" s="20"/>
      <c r="O34" s="20"/>
      <c r="P34" s="20"/>
      <c r="Q34" s="20"/>
      <c r="R34" s="20"/>
      <c r="S34" s="20"/>
      <c r="T34" s="20"/>
      <c r="U34" s="20"/>
      <c r="V34" s="20"/>
      <c r="W34" s="20"/>
      <c r="X34" s="20"/>
      <c r="Y34" s="20"/>
      <c r="Z34" s="20"/>
    </row>
    <row r="35" ht="45.0" customHeight="1">
      <c r="A35" s="30">
        <v>46118.33521990741</v>
      </c>
      <c r="B35" s="29" t="s">
        <v>806</v>
      </c>
      <c r="C35" s="29" t="s">
        <v>807</v>
      </c>
      <c r="D35" s="31" t="s">
        <v>716</v>
      </c>
      <c r="E35" s="29" t="s">
        <v>850</v>
      </c>
      <c r="F35" s="34" t="str">
        <f>HYPERLINK("https://drive.google.com/file/d/1KwSc4MDS3gHWDFEvi2bNgi9eFsKyAu2W/view?usp=drivesdk", "사진보기")</f>
        <v>사진보기</v>
      </c>
      <c r="G35" s="29" t="s">
        <v>809</v>
      </c>
      <c r="H35" s="34" t="str">
        <f>HYPERLINK("https://drive.google.com/thumbnail?sz=w1000&amp;id=1_rtl2-IVb6xXWE6wzVmjCXoyatwfPQpj", "서명보기")</f>
        <v>서명보기</v>
      </c>
      <c r="I35" s="29" t="s">
        <v>810</v>
      </c>
      <c r="J35" s="29" t="s">
        <v>811</v>
      </c>
      <c r="K35" s="29" t="s">
        <v>852</v>
      </c>
      <c r="L35" s="20"/>
      <c r="M35" s="20"/>
      <c r="N35" s="20"/>
      <c r="O35" s="20"/>
      <c r="P35" s="20"/>
      <c r="Q35" s="20"/>
      <c r="R35" s="20"/>
      <c r="S35" s="20"/>
      <c r="T35" s="20"/>
      <c r="U35" s="20"/>
      <c r="V35" s="20"/>
      <c r="W35" s="20"/>
      <c r="X35" s="20"/>
      <c r="Y35" s="20"/>
      <c r="Z35" s="20"/>
    </row>
    <row r="36" ht="45.0" customHeight="1">
      <c r="A36" s="30">
        <v>46119.33552083333</v>
      </c>
      <c r="B36" s="29" t="s">
        <v>806</v>
      </c>
      <c r="C36" s="29" t="s">
        <v>807</v>
      </c>
      <c r="D36" s="31" t="s">
        <v>716</v>
      </c>
      <c r="E36" s="20"/>
      <c r="F36" s="34" t="str">
        <f>HYPERLINK("https://drive.google.com/file/d/1-DzIDnFFgA5i_e-JkrKja2mqarWLmtWq/view?usp=drivesdk", "사진보기")</f>
        <v>사진보기</v>
      </c>
      <c r="G36" s="29" t="s">
        <v>856</v>
      </c>
      <c r="H36" s="34" t="str">
        <f>HYPERLINK("https://drive.google.com/thumbnail?sz=w1000&amp;id=1GH0gbLrVGFliQwATfPGu2SSanimDOKai", "서명보기")</f>
        <v>서명보기</v>
      </c>
      <c r="I36" s="29" t="s">
        <v>810</v>
      </c>
      <c r="J36" s="29" t="s">
        <v>811</v>
      </c>
      <c r="K36" s="29" t="s">
        <v>858</v>
      </c>
      <c r="L36" s="20"/>
      <c r="M36" s="20"/>
      <c r="N36" s="20"/>
      <c r="O36" s="20"/>
      <c r="P36" s="20"/>
      <c r="Q36" s="20"/>
      <c r="R36" s="20"/>
      <c r="S36" s="20"/>
      <c r="T36" s="20"/>
      <c r="U36" s="20"/>
      <c r="V36" s="20"/>
      <c r="W36" s="20"/>
      <c r="X36" s="20"/>
      <c r="Y36" s="20"/>
      <c r="Z36" s="20"/>
    </row>
    <row r="37" ht="45.0" customHeight="1">
      <c r="A37" s="30">
        <v>46120.33429398148</v>
      </c>
      <c r="B37" s="29" t="s">
        <v>806</v>
      </c>
      <c r="C37" s="29" t="s">
        <v>807</v>
      </c>
      <c r="D37" s="31" t="s">
        <v>716</v>
      </c>
      <c r="E37" s="20"/>
      <c r="F37" s="34" t="str">
        <f>HYPERLINK("https://drive.google.com/file/d/11cwcxp-dUXZnBh6mnzfNJDOCFC8Rm3nc/view?usp=drivesdk", "사진보기")</f>
        <v>사진보기</v>
      </c>
      <c r="G37" s="29" t="s">
        <v>809</v>
      </c>
      <c r="H37" s="34" t="str">
        <f>HYPERLINK("https://drive.google.com/thumbnail?sz=w1000&amp;id=1wF0dzFnWFu9IhubwbKLZcGse6NM6J0ck", "서명보기")</f>
        <v>서명보기</v>
      </c>
      <c r="I37" s="29" t="s">
        <v>810</v>
      </c>
      <c r="J37" s="29" t="s">
        <v>811</v>
      </c>
      <c r="K37" s="29" t="s">
        <v>862</v>
      </c>
      <c r="L37" s="20"/>
      <c r="M37" s="20"/>
      <c r="N37" s="20"/>
      <c r="O37" s="20"/>
      <c r="P37" s="20"/>
      <c r="Q37" s="20"/>
      <c r="R37" s="20"/>
      <c r="S37" s="20"/>
      <c r="T37" s="20"/>
      <c r="U37" s="20"/>
      <c r="V37" s="20"/>
      <c r="W37" s="20"/>
      <c r="X37" s="20"/>
      <c r="Y37" s="20"/>
      <c r="Z37" s="20"/>
    </row>
    <row r="38" ht="45.0" customHeight="1">
      <c r="A38" s="30">
        <v>46121.33563657408</v>
      </c>
      <c r="B38" s="29" t="s">
        <v>806</v>
      </c>
      <c r="C38" s="29" t="s">
        <v>807</v>
      </c>
      <c r="D38" s="31" t="s">
        <v>716</v>
      </c>
      <c r="E38" s="20"/>
      <c r="F38" s="34" t="str">
        <f>HYPERLINK("https://drive.google.com/file/d/1Dk5COtZchk-ymnjdtBuh056EIiXb1sTZ/view?usp=drivesdk", "사진보기")</f>
        <v>사진보기</v>
      </c>
      <c r="G38" s="29" t="s">
        <v>809</v>
      </c>
      <c r="H38" s="34" t="str">
        <f>HYPERLINK("https://drive.google.com/thumbnail?sz=w1000&amp;id=1tBOevQh8k1bj94hTyCbpx3Hs-lGukIpO", "서명보기")</f>
        <v>서명보기</v>
      </c>
      <c r="I38" s="29" t="s">
        <v>810</v>
      </c>
      <c r="J38" s="29" t="s">
        <v>811</v>
      </c>
      <c r="K38" s="29" t="s">
        <v>865</v>
      </c>
      <c r="L38" s="20"/>
      <c r="M38" s="20"/>
      <c r="N38" s="20"/>
      <c r="O38" s="20"/>
      <c r="P38" s="20"/>
      <c r="Q38" s="20"/>
      <c r="R38" s="20"/>
      <c r="S38" s="20"/>
      <c r="T38" s="20"/>
      <c r="U38" s="20"/>
      <c r="V38" s="20"/>
      <c r="W38" s="20"/>
      <c r="X38" s="20"/>
      <c r="Y38" s="20"/>
      <c r="Z38" s="20"/>
    </row>
    <row r="39" ht="45.0" customHeight="1">
      <c r="A39" s="30">
        <v>46122.334340277775</v>
      </c>
      <c r="B39" s="29" t="s">
        <v>806</v>
      </c>
      <c r="C39" s="29" t="s">
        <v>807</v>
      </c>
      <c r="D39" s="31" t="s">
        <v>716</v>
      </c>
      <c r="E39" s="20"/>
      <c r="F39" s="34" t="str">
        <f>HYPERLINK("https://drive.google.com/file/d/14il8kpkSar7NujA51oNre5_aHlW9Kuyh/view?usp=drivesdk", "사진보기")</f>
        <v>사진보기</v>
      </c>
      <c r="G39" s="29" t="s">
        <v>809</v>
      </c>
      <c r="H39" s="34" t="str">
        <f>HYPERLINK("https://drive.google.com/thumbnail?sz=w1000&amp;id=1PPijJUSMaZHSDF5bZysUTYUYXerdqd7W", "서명보기")</f>
        <v>서명보기</v>
      </c>
      <c r="I39" s="29" t="s">
        <v>810</v>
      </c>
      <c r="J39" s="29" t="s">
        <v>811</v>
      </c>
      <c r="K39" s="29" t="s">
        <v>869</v>
      </c>
      <c r="L39" s="20"/>
      <c r="M39" s="20"/>
      <c r="N39" s="20"/>
      <c r="O39" s="20"/>
      <c r="P39" s="20"/>
      <c r="Q39" s="20"/>
      <c r="R39" s="20"/>
      <c r="S39" s="20"/>
      <c r="T39" s="20"/>
      <c r="U39" s="20"/>
      <c r="V39" s="20"/>
      <c r="W39" s="20"/>
      <c r="X39" s="20"/>
      <c r="Y39" s="20"/>
      <c r="Z39" s="20"/>
    </row>
    <row r="40" ht="45.0" customHeight="1">
      <c r="A40" s="30">
        <v>46125.33521990741</v>
      </c>
      <c r="B40" s="29" t="s">
        <v>806</v>
      </c>
      <c r="C40" s="29" t="s">
        <v>807</v>
      </c>
      <c r="D40" s="31" t="s">
        <v>716</v>
      </c>
      <c r="E40" s="20"/>
      <c r="F40" s="34" t="str">
        <f>HYPERLINK("https://drive.google.com/file/d/1b6qJiUJNktmV14RHtyZjeoEp7cH4mxJf/view?usp=drivesdk", "사진보기")</f>
        <v>사진보기</v>
      </c>
      <c r="G40" s="29" t="s">
        <v>809</v>
      </c>
      <c r="H40" s="34" t="str">
        <f>HYPERLINK("https://drive.google.com/thumbnail?sz=w1000&amp;id=1BntWIMr6hL5-XEBYpRw58A5Te204WgD3", "서명보기")</f>
        <v>서명보기</v>
      </c>
      <c r="I40" s="29" t="s">
        <v>810</v>
      </c>
      <c r="J40" s="29" t="s">
        <v>811</v>
      </c>
      <c r="K40" s="29" t="s">
        <v>872</v>
      </c>
      <c r="L40" s="20"/>
      <c r="M40" s="20"/>
      <c r="N40" s="20"/>
      <c r="O40" s="20"/>
      <c r="P40" s="20"/>
      <c r="Q40" s="20"/>
      <c r="R40" s="20"/>
      <c r="S40" s="20"/>
      <c r="T40" s="20"/>
      <c r="U40" s="20"/>
      <c r="V40" s="20"/>
      <c r="W40" s="20"/>
      <c r="X40" s="20"/>
      <c r="Y40" s="20"/>
      <c r="Z40" s="20"/>
    </row>
    <row r="41" ht="45.0" customHeight="1">
      <c r="A41" s="30">
        <v>46126.33526620371</v>
      </c>
      <c r="B41" s="29" t="s">
        <v>806</v>
      </c>
      <c r="C41" s="29" t="s">
        <v>807</v>
      </c>
      <c r="D41" s="31" t="s">
        <v>716</v>
      </c>
      <c r="E41" s="20"/>
      <c r="F41" s="34" t="str">
        <f>HYPERLINK("https://drive.google.com/file/d/1JkHR_UYFVOt3oOZXEdk3dA6hPUiF01Gt/view?usp=drivesdk", "사진보기")</f>
        <v>사진보기</v>
      </c>
      <c r="G41" s="29" t="s">
        <v>809</v>
      </c>
      <c r="H41" s="34" t="str">
        <f>HYPERLINK("https://drive.google.com/thumbnail?sz=w1000&amp;id=1jXYK77Zom3WxbMLc3EjIrS2yHcX0tkRU", "서명보기")</f>
        <v>서명보기</v>
      </c>
      <c r="I41" s="29" t="s">
        <v>810</v>
      </c>
      <c r="J41" s="29" t="s">
        <v>811</v>
      </c>
      <c r="K41" s="29" t="s">
        <v>874</v>
      </c>
      <c r="L41" s="20"/>
      <c r="M41" s="20"/>
      <c r="N41" s="20"/>
      <c r="O41" s="20"/>
      <c r="P41" s="20"/>
      <c r="Q41" s="20"/>
      <c r="R41" s="20"/>
      <c r="S41" s="20"/>
      <c r="T41" s="20"/>
      <c r="U41" s="20"/>
      <c r="V41" s="20"/>
      <c r="W41" s="20"/>
      <c r="X41" s="20"/>
      <c r="Y41" s="20"/>
      <c r="Z41" s="20"/>
    </row>
    <row r="42" ht="45.0" customHeight="1">
      <c r="A42" s="30">
        <v>46127.335324074076</v>
      </c>
      <c r="B42" s="29" t="s">
        <v>806</v>
      </c>
      <c r="C42" s="29" t="s">
        <v>807</v>
      </c>
      <c r="D42" s="31" t="s">
        <v>716</v>
      </c>
      <c r="E42" s="20"/>
      <c r="F42" s="34" t="str">
        <f>HYPERLINK("https://drive.google.com/file/d/1gltFCA4waySEzfx542-2J2CljdjRTQOS/view?usp=drivesdk", "사진보기")</f>
        <v>사진보기</v>
      </c>
      <c r="G42" s="29" t="s">
        <v>809</v>
      </c>
      <c r="H42" s="34" t="str">
        <f>HYPERLINK("https://drive.google.com/thumbnail?sz=w1000&amp;id=1OlfjfWPqBI9cDU2JB7VnSHsZXbrmNXCm", "서명보기")</f>
        <v>서명보기</v>
      </c>
      <c r="I42" s="29" t="s">
        <v>810</v>
      </c>
      <c r="J42" s="29" t="s">
        <v>811</v>
      </c>
      <c r="K42" s="29" t="s">
        <v>877</v>
      </c>
      <c r="L42" s="20"/>
      <c r="M42" s="20"/>
      <c r="N42" s="20"/>
      <c r="O42" s="20"/>
      <c r="P42" s="20"/>
      <c r="Q42" s="20"/>
      <c r="R42" s="20"/>
      <c r="S42" s="20"/>
      <c r="T42" s="20"/>
      <c r="U42" s="20"/>
      <c r="V42" s="20"/>
      <c r="W42" s="20"/>
      <c r="X42" s="20"/>
      <c r="Y42" s="20"/>
      <c r="Z42" s="20"/>
    </row>
    <row r="43" ht="45.0" customHeight="1">
      <c r="A43" s="30">
        <v>46128.33479166667</v>
      </c>
      <c r="B43" s="29" t="s">
        <v>806</v>
      </c>
      <c r="C43" s="29" t="s">
        <v>807</v>
      </c>
      <c r="D43" s="31" t="s">
        <v>716</v>
      </c>
      <c r="E43" s="20"/>
      <c r="F43" s="34" t="str">
        <f>HYPERLINK("https://drive.google.com/file/d/1IwpmlckqQprv6pFtNNUPAcOkvdee7WGF/view?usp=drivesdk", "사진보기")</f>
        <v>사진보기</v>
      </c>
      <c r="G43" s="29" t="s">
        <v>809</v>
      </c>
      <c r="H43" s="34" t="str">
        <f>HYPERLINK("https://drive.google.com/thumbnail?sz=w1000&amp;id=1H_FxuGv2pti8K7TyFg1zDyKI0DH_jOXK", "서명보기")</f>
        <v>서명보기</v>
      </c>
      <c r="I43" s="29" t="s">
        <v>810</v>
      </c>
      <c r="J43" s="29" t="s">
        <v>811</v>
      </c>
      <c r="K43" s="29" t="s">
        <v>879</v>
      </c>
      <c r="L43" s="20"/>
      <c r="M43" s="20"/>
      <c r="N43" s="20"/>
      <c r="O43" s="20"/>
      <c r="P43" s="20"/>
      <c r="Q43" s="20"/>
      <c r="R43" s="20"/>
      <c r="S43" s="20"/>
      <c r="T43" s="20"/>
      <c r="U43" s="20"/>
      <c r="V43" s="20"/>
      <c r="W43" s="20"/>
      <c r="X43" s="20"/>
      <c r="Y43" s="20"/>
      <c r="Z43" s="20"/>
    </row>
    <row r="44" ht="45.0" customHeight="1">
      <c r="A44" s="30">
        <v>46129.33537037037</v>
      </c>
      <c r="B44" s="29" t="s">
        <v>806</v>
      </c>
      <c r="C44" s="29" t="s">
        <v>807</v>
      </c>
      <c r="D44" s="31" t="s">
        <v>716</v>
      </c>
      <c r="E44" s="20"/>
      <c r="F44" s="34" t="str">
        <f>HYPERLINK("https://drive.google.com/file/d/1ShA9nqpm2JUs96kFKyU2lT5GaOl8lQZD/view?usp=drivesdk", "사진보기")</f>
        <v>사진보기</v>
      </c>
      <c r="G44" s="29" t="s">
        <v>881</v>
      </c>
      <c r="H44" s="34" t="str">
        <f>HYPERLINK("https://drive.google.com/thumbnail?sz=w1000&amp;id=1FJbveMD5CPlqSXk3UXB3VFcJ0VmvNNx_", "서명보기")</f>
        <v>서명보기</v>
      </c>
      <c r="I44" s="29" t="s">
        <v>810</v>
      </c>
      <c r="J44" s="29" t="s">
        <v>811</v>
      </c>
      <c r="K44" s="29" t="s">
        <v>883</v>
      </c>
      <c r="L44" s="20"/>
      <c r="M44" s="20"/>
      <c r="N44" s="20"/>
      <c r="O44" s="20"/>
      <c r="P44" s="20"/>
      <c r="Q44" s="20"/>
      <c r="R44" s="20"/>
      <c r="S44" s="20"/>
      <c r="T44" s="20"/>
      <c r="U44" s="20"/>
      <c r="V44" s="20"/>
      <c r="W44" s="20"/>
      <c r="X44" s="20"/>
      <c r="Y44" s="20"/>
      <c r="Z44" s="20"/>
    </row>
    <row r="45" ht="45.0" customHeight="1">
      <c r="A45" s="30">
        <v>46132.32765046296</v>
      </c>
      <c r="B45" s="29" t="s">
        <v>814</v>
      </c>
      <c r="C45" s="29" t="s">
        <v>815</v>
      </c>
      <c r="D45" s="35"/>
      <c r="E45" s="20"/>
      <c r="F45" s="34" t="str">
        <f>HYPERLINK("https://drive.google.com/file/d/1hIJNYEOkpfHyRHA66VH0qt8yARLgRljr/view?usp=drivesdk", "사진보기")</f>
        <v>사진보기</v>
      </c>
      <c r="G45" s="29" t="s">
        <v>817</v>
      </c>
      <c r="H45" s="34" t="str">
        <f>HYPERLINK("https://drive.google.com/thumbnail?sz=w1000&amp;id=1dDG-6k_HuEEEsk4ypah-DV8cdzNIyOC0", "서명보기")</f>
        <v>서명보기</v>
      </c>
      <c r="I45" s="20"/>
      <c r="J45" s="20"/>
      <c r="K45" s="29" t="s">
        <v>886</v>
      </c>
      <c r="L45" s="20"/>
      <c r="M45" s="20"/>
      <c r="N45" s="20"/>
      <c r="O45" s="20"/>
      <c r="P45" s="20"/>
      <c r="Q45" s="20"/>
      <c r="R45" s="20"/>
      <c r="S45" s="20"/>
      <c r="T45" s="20"/>
      <c r="U45" s="20"/>
      <c r="V45" s="20"/>
      <c r="W45" s="20"/>
      <c r="X45" s="20"/>
      <c r="Y45" s="20"/>
      <c r="Z45" s="20"/>
    </row>
    <row r="46" ht="45.0" customHeight="1">
      <c r="A46" s="30">
        <v>46132.33458333334</v>
      </c>
      <c r="B46" s="29" t="s">
        <v>806</v>
      </c>
      <c r="C46" s="29" t="s">
        <v>807</v>
      </c>
      <c r="D46" s="31" t="s">
        <v>716</v>
      </c>
      <c r="E46" s="20"/>
      <c r="F46" s="34" t="str">
        <f>HYPERLINK("https://drive.google.com/file/d/1ddRxi-Sh4ZmmJ5HBiMZsqtXmpvGSYjjD/view?usp=drivesdk", "사진보기")</f>
        <v>사진보기</v>
      </c>
      <c r="G46" s="29" t="s">
        <v>809</v>
      </c>
      <c r="H46" s="34" t="str">
        <f>HYPERLINK("https://drive.google.com/thumbnail?sz=w1000&amp;id=1GDtxJcF9-THvyGFShHXCNZeTPlp7dzb-", "서명보기")</f>
        <v>서명보기</v>
      </c>
      <c r="I46" s="29" t="s">
        <v>810</v>
      </c>
      <c r="J46" s="29" t="s">
        <v>811</v>
      </c>
      <c r="K46" s="29" t="s">
        <v>890</v>
      </c>
      <c r="L46" s="20"/>
      <c r="M46" s="20"/>
      <c r="N46" s="20"/>
      <c r="O46" s="20"/>
      <c r="P46" s="20"/>
      <c r="Q46" s="20"/>
      <c r="R46" s="20"/>
      <c r="S46" s="20"/>
      <c r="T46" s="20"/>
      <c r="U46" s="20"/>
      <c r="V46" s="20"/>
      <c r="W46" s="20"/>
      <c r="X46" s="20"/>
      <c r="Y46" s="20"/>
      <c r="Z46" s="20"/>
    </row>
    <row r="47" ht="45.0" customHeight="1">
      <c r="A47" s="30">
        <v>46133.33392361111</v>
      </c>
      <c r="B47" s="29" t="s">
        <v>806</v>
      </c>
      <c r="C47" s="29" t="s">
        <v>807</v>
      </c>
      <c r="D47" s="31" t="s">
        <v>716</v>
      </c>
      <c r="E47" s="20"/>
      <c r="F47" s="34" t="str">
        <f>HYPERLINK("https://drive.google.com/file/d/1ZpsMeh-LoBb_Tb-EPasGVEUJlLmAdMoC/view?usp=drivesdk", "사진보기")</f>
        <v>사진보기</v>
      </c>
      <c r="G47" s="29" t="s">
        <v>809</v>
      </c>
      <c r="H47" s="34" t="str">
        <f>HYPERLINK("https://drive.google.com/thumbnail?sz=w1000&amp;id=1oS-Ebj7UhvbQTMCtXk962oxKCmYJJr6t", "서명보기")</f>
        <v>서명보기</v>
      </c>
      <c r="I47" s="29" t="s">
        <v>810</v>
      </c>
      <c r="J47" s="29" t="s">
        <v>811</v>
      </c>
      <c r="K47" s="29" t="s">
        <v>893</v>
      </c>
      <c r="L47" s="20"/>
      <c r="M47" s="20"/>
      <c r="N47" s="20"/>
      <c r="O47" s="20"/>
      <c r="P47" s="20"/>
      <c r="Q47" s="20"/>
      <c r="R47" s="20"/>
      <c r="S47" s="20"/>
      <c r="T47" s="20"/>
      <c r="U47" s="20"/>
      <c r="V47" s="20"/>
      <c r="W47" s="20"/>
      <c r="X47" s="20"/>
      <c r="Y47" s="20"/>
      <c r="Z47" s="20"/>
    </row>
    <row r="48" ht="45.0" customHeight="1">
      <c r="A48" s="30">
        <v>46134.334710648145</v>
      </c>
      <c r="B48" s="29" t="s">
        <v>806</v>
      </c>
      <c r="C48" s="29" t="s">
        <v>807</v>
      </c>
      <c r="D48" s="31" t="s">
        <v>716</v>
      </c>
      <c r="E48" s="29" t="s">
        <v>895</v>
      </c>
      <c r="F48" s="34" t="str">
        <f>HYPERLINK("https://drive.google.com/file/d/1psPSTCuBibqnlvRBw3Qzf0bWAAihGGQB/view?usp=drivesdk", "사진보기")</f>
        <v>사진보기</v>
      </c>
      <c r="G48" s="29" t="s">
        <v>809</v>
      </c>
      <c r="H48" s="34" t="str">
        <f>HYPERLINK("https://drive.google.com/thumbnail?sz=w1000&amp;id=16GaaNMak49aJ6CJkyZ6rcGs7snXbRipq", "서명보기")</f>
        <v>서명보기</v>
      </c>
      <c r="I48" s="29" t="s">
        <v>810</v>
      </c>
      <c r="J48" s="29" t="s">
        <v>811</v>
      </c>
      <c r="K48" s="29" t="s">
        <v>897</v>
      </c>
      <c r="L48" s="20"/>
      <c r="M48" s="20"/>
      <c r="N48" s="20"/>
      <c r="O48" s="20"/>
      <c r="P48" s="20"/>
      <c r="Q48" s="20"/>
      <c r="R48" s="20"/>
      <c r="S48" s="20"/>
      <c r="T48" s="20"/>
      <c r="U48" s="20"/>
      <c r="V48" s="20"/>
      <c r="W48" s="20"/>
      <c r="X48" s="20"/>
      <c r="Y48" s="20"/>
      <c r="Z48" s="20"/>
    </row>
    <row r="49" ht="45.0" customHeight="1">
      <c r="A49" s="30">
        <v>46135.33392361111</v>
      </c>
      <c r="B49" s="29" t="s">
        <v>806</v>
      </c>
      <c r="C49" s="29" t="s">
        <v>807</v>
      </c>
      <c r="D49" s="31" t="s">
        <v>716</v>
      </c>
      <c r="E49" s="20"/>
      <c r="F49" s="34" t="str">
        <f>HYPERLINK("https://drive.google.com/file/d/1bH9D8PGeHIuLv3Vl6MtSJ1hvwxV8CUeS/view?usp=drivesdk", "사진보기")</f>
        <v>사진보기</v>
      </c>
      <c r="G49" s="29" t="s">
        <v>809</v>
      </c>
      <c r="H49" s="34" t="str">
        <f>HYPERLINK("https://drive.google.com/thumbnail?sz=w1000&amp;id=1dvwhhpKXUluwLUJo6O_fNKQnSsJNzXTC", "서명보기")</f>
        <v>서명보기</v>
      </c>
      <c r="I49" s="29" t="s">
        <v>810</v>
      </c>
      <c r="J49" s="29" t="s">
        <v>811</v>
      </c>
      <c r="K49" s="29" t="s">
        <v>841</v>
      </c>
      <c r="L49" s="20"/>
      <c r="M49" s="20"/>
      <c r="N49" s="20"/>
      <c r="O49" s="20"/>
      <c r="P49" s="20"/>
      <c r="Q49" s="20"/>
      <c r="R49" s="20"/>
      <c r="S49" s="20"/>
      <c r="T49" s="20"/>
      <c r="U49" s="20"/>
      <c r="V49" s="20"/>
      <c r="W49" s="20"/>
      <c r="X49" s="20"/>
      <c r="Y49" s="20"/>
      <c r="Z49" s="20"/>
    </row>
    <row r="50" ht="45.0" customHeight="1">
      <c r="A50" s="30">
        <v>46136.33405092593</v>
      </c>
      <c r="B50" s="29" t="s">
        <v>806</v>
      </c>
      <c r="C50" s="29" t="s">
        <v>807</v>
      </c>
      <c r="D50" s="31" t="s">
        <v>716</v>
      </c>
      <c r="E50" s="20"/>
      <c r="F50" s="34" t="str">
        <f>HYPERLINK("https://drive.google.com/file/d/1BsVXPeO5pd67NXoA9InVa2KYpJKloq-H/view?usp=drivesdk", "사진보기")</f>
        <v>사진보기</v>
      </c>
      <c r="G50" s="29" t="s">
        <v>809</v>
      </c>
      <c r="H50" s="34" t="str">
        <f>HYPERLINK("https://drive.google.com/thumbnail?sz=w1000&amp;id=1a2-npK72_BESG2PFk_6nMO3rjlzHKD9d", "서명보기")</f>
        <v>서명보기</v>
      </c>
      <c r="I50" s="29" t="s">
        <v>810</v>
      </c>
      <c r="J50" s="29" t="s">
        <v>811</v>
      </c>
      <c r="K50" s="29" t="s">
        <v>903</v>
      </c>
      <c r="L50" s="20"/>
      <c r="M50" s="20"/>
      <c r="N50" s="20"/>
      <c r="O50" s="20"/>
      <c r="P50" s="20"/>
      <c r="Q50" s="20"/>
      <c r="R50" s="20"/>
      <c r="S50" s="20"/>
      <c r="T50" s="20"/>
      <c r="U50" s="20"/>
      <c r="V50" s="20"/>
      <c r="W50" s="20"/>
      <c r="X50" s="20"/>
      <c r="Y50" s="20"/>
      <c r="Z50" s="20"/>
    </row>
    <row r="51" ht="45.0" customHeight="1">
      <c r="A51" s="30">
        <v>46139.33547453704</v>
      </c>
      <c r="B51" s="29" t="s">
        <v>806</v>
      </c>
      <c r="C51" s="29" t="s">
        <v>807</v>
      </c>
      <c r="D51" s="31" t="s">
        <v>716</v>
      </c>
      <c r="E51" s="20"/>
      <c r="F51" s="34" t="str">
        <f>HYPERLINK("https://drive.google.com/file/d/1zbF0N3LRDspMYrehnMCge7MmM44lH0cW/view?usp=drivesdk", "사진보기")</f>
        <v>사진보기</v>
      </c>
      <c r="G51" s="29" t="s">
        <v>809</v>
      </c>
      <c r="H51" s="34" t="str">
        <f>HYPERLINK("https://drive.google.com/thumbnail?sz=w1000&amp;id=1UZNZgkZbNRe4OaE-_Ntd2vjcItjXyuIt", "서명보기")</f>
        <v>서명보기</v>
      </c>
      <c r="I51" s="29" t="s">
        <v>810</v>
      </c>
      <c r="J51" s="29" t="s">
        <v>811</v>
      </c>
      <c r="K51" s="29" t="s">
        <v>906</v>
      </c>
      <c r="L51" s="20"/>
      <c r="M51" s="20"/>
      <c r="N51" s="20"/>
      <c r="O51" s="20"/>
      <c r="P51" s="20"/>
      <c r="Q51" s="20"/>
      <c r="R51" s="20"/>
      <c r="S51" s="20"/>
      <c r="T51" s="20"/>
      <c r="U51" s="20"/>
      <c r="V51" s="20"/>
      <c r="W51" s="20"/>
      <c r="X51" s="20"/>
      <c r="Y51" s="20"/>
      <c r="Z51" s="20"/>
    </row>
    <row r="52" ht="45.0" customHeight="1">
      <c r="A52" s="30">
        <v>46139.46747685185</v>
      </c>
      <c r="B52" s="29" t="s">
        <v>734</v>
      </c>
      <c r="C52" s="29" t="s">
        <v>715</v>
      </c>
      <c r="D52" s="31" t="s">
        <v>716</v>
      </c>
      <c r="E52" s="20"/>
      <c r="F52" s="34" t="str">
        <f>HYPERLINK("https://drive.google.com/file/d/1aB9hWiX4YHGglpuGh1OOMt-MPdt1lqBA/view?usp=drivesdk", "사진보기")</f>
        <v>사진보기</v>
      </c>
      <c r="G52" s="29" t="s">
        <v>739</v>
      </c>
      <c r="H52" s="34" t="str">
        <f>HYPERLINK("https://drive.google.com/thumbnail?sz=w1000&amp;id=1VaeI_g8ncsDO8MvUMLsjTxvCNzKuwPZ_", "서명보기")</f>
        <v>서명보기</v>
      </c>
      <c r="I52" s="20"/>
      <c r="J52" s="20"/>
      <c r="K52" s="29" t="s">
        <v>909</v>
      </c>
      <c r="L52" s="20"/>
      <c r="M52" s="20"/>
      <c r="N52" s="20"/>
      <c r="O52" s="20"/>
      <c r="P52" s="20"/>
      <c r="Q52" s="20"/>
      <c r="R52" s="20"/>
      <c r="S52" s="20"/>
      <c r="T52" s="20"/>
      <c r="U52" s="20"/>
      <c r="V52" s="20"/>
      <c r="W52" s="20"/>
      <c r="X52" s="20"/>
      <c r="Y52" s="20"/>
      <c r="Z52" s="20"/>
    </row>
    <row r="53" ht="45.0" customHeight="1">
      <c r="A53" s="30">
        <v>46140.33515046296</v>
      </c>
      <c r="B53" s="29" t="s">
        <v>806</v>
      </c>
      <c r="C53" s="29" t="s">
        <v>807</v>
      </c>
      <c r="D53" s="31" t="s">
        <v>716</v>
      </c>
      <c r="E53" s="20"/>
      <c r="F53" s="34" t="str">
        <f>HYPERLINK("https://drive.google.com/file/d/1Dnqg_58bPwFLU_DtbhKq1pI080vog59A/view?usp=drivesdk", "사진보기")</f>
        <v>사진보기</v>
      </c>
      <c r="G53" s="29" t="s">
        <v>809</v>
      </c>
      <c r="H53" s="34" t="str">
        <f>HYPERLINK("https://drive.google.com/thumbnail?sz=w1000&amp;id=1PRiTZtTSHjt3R4D9WRkHrNgBBST_aOUz", "서명보기")</f>
        <v>서명보기</v>
      </c>
      <c r="I53" s="29" t="s">
        <v>810</v>
      </c>
      <c r="J53" s="29" t="s">
        <v>811</v>
      </c>
      <c r="K53" s="29" t="s">
        <v>912</v>
      </c>
      <c r="L53" s="20"/>
      <c r="M53" s="20"/>
      <c r="N53" s="20"/>
      <c r="O53" s="20"/>
      <c r="P53" s="20"/>
      <c r="Q53" s="20"/>
      <c r="R53" s="20"/>
      <c r="S53" s="20"/>
      <c r="T53" s="20"/>
      <c r="U53" s="20"/>
      <c r="V53" s="20"/>
      <c r="W53" s="20"/>
      <c r="X53" s="20"/>
      <c r="Y53" s="20"/>
      <c r="Z53" s="20"/>
    </row>
    <row r="54" ht="45.0" customHeight="1">
      <c r="A54" s="30">
        <v>46141.334386574075</v>
      </c>
      <c r="B54" s="29" t="s">
        <v>806</v>
      </c>
      <c r="C54" s="29" t="s">
        <v>807</v>
      </c>
      <c r="D54" s="31" t="s">
        <v>716</v>
      </c>
      <c r="E54" s="20"/>
      <c r="F54" s="34" t="str">
        <f>HYPERLINK("https://drive.google.com/file/d/1wgNW52FGaGlryvhceg4QY6oODCY4qyrj/view?usp=drivesdk", "사진보기")</f>
        <v>사진보기</v>
      </c>
      <c r="G54" s="29" t="s">
        <v>809</v>
      </c>
      <c r="H54" s="34" t="str">
        <f>HYPERLINK("https://drive.google.com/thumbnail?sz=w1000&amp;id=1RjbtFhoGJ8GG0gnC1WsCYCBUIWSrquqQ", "서명보기")</f>
        <v>서명보기</v>
      </c>
      <c r="I54" s="29" t="s">
        <v>810</v>
      </c>
      <c r="J54" s="29" t="s">
        <v>811</v>
      </c>
      <c r="K54" s="29" t="s">
        <v>915</v>
      </c>
      <c r="L54" s="20"/>
      <c r="M54" s="20"/>
      <c r="N54" s="20"/>
      <c r="O54" s="20"/>
      <c r="P54" s="20"/>
      <c r="Q54" s="20"/>
      <c r="R54" s="20"/>
      <c r="S54" s="20"/>
      <c r="T54" s="20"/>
      <c r="U54" s="20"/>
      <c r="V54" s="20"/>
      <c r="W54" s="20"/>
      <c r="X54" s="20"/>
      <c r="Y54" s="20"/>
      <c r="Z54" s="20"/>
    </row>
    <row r="55" ht="45.0" customHeight="1">
      <c r="A55" s="30">
        <v>46142.3280787037</v>
      </c>
      <c r="B55" s="29" t="s">
        <v>814</v>
      </c>
      <c r="C55" s="29" t="s">
        <v>815</v>
      </c>
      <c r="D55" s="31" t="s">
        <v>716</v>
      </c>
      <c r="E55" s="29" t="s">
        <v>917</v>
      </c>
      <c r="F55" s="34" t="str">
        <f>HYPERLINK("https://drive.google.com/file/d/1llqo9jZRvZ5BvlH8K5djeQvLP6ZQgvm2/view?usp=drivesdk", "사진보기")</f>
        <v>사진보기</v>
      </c>
      <c r="G55" s="29" t="s">
        <v>817</v>
      </c>
      <c r="H55" s="34" t="str">
        <f>HYPERLINK("https://drive.google.com/thumbnail?sz=w1000&amp;id=1TFqNYcZzPUbamcDNPcQKZwdiEbTMjfC9", "서명보기")</f>
        <v>서명보기</v>
      </c>
      <c r="I55" s="20"/>
      <c r="J55" s="20"/>
      <c r="K55" s="29" t="s">
        <v>919</v>
      </c>
      <c r="L55" s="20"/>
      <c r="M55" s="20"/>
      <c r="N55" s="20"/>
      <c r="O55" s="20"/>
      <c r="P55" s="20"/>
      <c r="Q55" s="20"/>
      <c r="R55" s="20"/>
      <c r="S55" s="20"/>
      <c r="T55" s="20"/>
      <c r="U55" s="20"/>
      <c r="V55" s="20"/>
      <c r="W55" s="20"/>
      <c r="X55" s="20"/>
      <c r="Y55" s="20"/>
      <c r="Z55" s="20"/>
    </row>
    <row r="56" ht="45.0" customHeight="1">
      <c r="A56" s="30">
        <v>46142.33387731481</v>
      </c>
      <c r="B56" s="29" t="s">
        <v>806</v>
      </c>
      <c r="C56" s="29" t="s">
        <v>807</v>
      </c>
      <c r="D56" s="31" t="s">
        <v>716</v>
      </c>
      <c r="E56" s="20"/>
      <c r="F56" s="34" t="str">
        <f>HYPERLINK("https://drive.google.com/file/d/1cRHZ-JtyrIrXD80NZt8IapvzzguQ7cDd/view?usp=drivesdk", "사진보기")</f>
        <v>사진보기</v>
      </c>
      <c r="G56" s="29" t="s">
        <v>809</v>
      </c>
      <c r="H56" s="34" t="str">
        <f>HYPERLINK("https://drive.google.com/thumbnail?sz=w1000&amp;id=1pG4RVgl6f6uqPEgNNgLCQhM_AKYEpz1w", "서명보기")</f>
        <v>서명보기</v>
      </c>
      <c r="I56" s="29" t="s">
        <v>810</v>
      </c>
      <c r="J56" s="29" t="s">
        <v>811</v>
      </c>
      <c r="K56" s="29" t="s">
        <v>788</v>
      </c>
      <c r="L56" s="20"/>
      <c r="M56" s="20"/>
      <c r="N56" s="20"/>
      <c r="O56" s="20"/>
      <c r="P56" s="20"/>
      <c r="Q56" s="20"/>
      <c r="R56" s="20"/>
      <c r="S56" s="20"/>
      <c r="T56" s="20"/>
      <c r="U56" s="20"/>
      <c r="V56" s="20"/>
      <c r="W56" s="20"/>
      <c r="X56" s="20"/>
      <c r="Y56" s="20"/>
      <c r="Z56" s="20"/>
    </row>
    <row r="57" ht="45.0" customHeight="1">
      <c r="A57" s="30">
        <v>46146.33555555555</v>
      </c>
      <c r="B57" s="29" t="s">
        <v>806</v>
      </c>
      <c r="C57" s="29" t="s">
        <v>807</v>
      </c>
      <c r="D57" s="31" t="s">
        <v>716</v>
      </c>
      <c r="E57" s="20"/>
      <c r="F57" s="34" t="str">
        <f>HYPERLINK("https://drive.google.com/file/d/1g891gh4ZQiY7rzHlehqJlFfgcEvIJmAI/view?usp=drivesdk", "사진보기")</f>
        <v>사진보기</v>
      </c>
      <c r="G57" s="29" t="s">
        <v>923</v>
      </c>
      <c r="H57" s="34" t="str">
        <f>HYPERLINK("https://drive.google.com/thumbnail?sz=w1000&amp;id=13LX6juwcPU5bzMAobCqgNyXwgKB65BRn", "서명보기")</f>
        <v>서명보기</v>
      </c>
      <c r="I57" s="29" t="s">
        <v>810</v>
      </c>
      <c r="J57" s="29" t="s">
        <v>811</v>
      </c>
      <c r="K57" s="29" t="s">
        <v>924</v>
      </c>
      <c r="L57" s="20"/>
      <c r="M57" s="20"/>
      <c r="N57" s="20"/>
      <c r="O57" s="20"/>
      <c r="P57" s="20"/>
      <c r="Q57" s="20"/>
      <c r="R57" s="20"/>
      <c r="S57" s="20"/>
      <c r="T57" s="20"/>
      <c r="U57" s="20"/>
      <c r="V57" s="20"/>
      <c r="W57" s="20"/>
      <c r="X57" s="20"/>
      <c r="Y57" s="20"/>
      <c r="Z57" s="20"/>
    </row>
    <row r="58" ht="45.0" customHeight="1">
      <c r="A58" s="30">
        <v>46148.337164351855</v>
      </c>
      <c r="B58" s="29" t="s">
        <v>806</v>
      </c>
      <c r="C58" s="29" t="s">
        <v>807</v>
      </c>
      <c r="D58" s="31" t="s">
        <v>716</v>
      </c>
      <c r="E58" s="20"/>
      <c r="F58" s="34" t="str">
        <f>HYPERLINK("https://drive.google.com/file/d/13rDYbpkhrIk-zMmvSMM1KCzvlamoeyxn/view?usp=drivesdk", "사진보기")</f>
        <v>사진보기</v>
      </c>
      <c r="G58" s="29" t="s">
        <v>928</v>
      </c>
      <c r="H58" s="34" t="str">
        <f>HYPERLINK("https://drive.google.com/thumbnail?sz=w1000&amp;id=1oSTO4YbPDqaRZmkKoArBXmokRQksheq9", "서명보기")</f>
        <v>서명보기</v>
      </c>
      <c r="I58" s="29" t="s">
        <v>810</v>
      </c>
      <c r="J58" s="29" t="s">
        <v>811</v>
      </c>
      <c r="K58" s="29" t="s">
        <v>906</v>
      </c>
      <c r="L58" s="20"/>
      <c r="M58" s="20"/>
      <c r="N58" s="20"/>
      <c r="O58" s="20"/>
      <c r="P58" s="20"/>
      <c r="Q58" s="20"/>
      <c r="R58" s="20"/>
      <c r="S58" s="20"/>
      <c r="T58" s="20"/>
      <c r="U58" s="20"/>
      <c r="V58" s="20"/>
      <c r="W58" s="20"/>
      <c r="X58" s="20"/>
      <c r="Y58" s="20"/>
      <c r="Z58" s="20"/>
    </row>
    <row r="59" ht="45.0" customHeight="1">
      <c r="A59" s="30">
        <v>46149.33377314815</v>
      </c>
      <c r="B59" s="29" t="s">
        <v>806</v>
      </c>
      <c r="C59" s="29" t="s">
        <v>807</v>
      </c>
      <c r="D59" s="31" t="s">
        <v>716</v>
      </c>
      <c r="E59" s="20"/>
      <c r="F59" s="34" t="str">
        <f>HYPERLINK("https://drive.google.com/file/d/14UKEKMKEgpV-4HaMoUpmQsTTs13N9YTS/view?usp=drivesdk", "사진보기")</f>
        <v>사진보기</v>
      </c>
      <c r="G59" s="29" t="s">
        <v>928</v>
      </c>
      <c r="H59" s="34" t="str">
        <f>HYPERLINK("https://drive.google.com/thumbnail?sz=w1000&amp;id=10nQLDlQfxNHpXYeAsEkKQMEguaYGARPJ", "서명보기")</f>
        <v>서명보기</v>
      </c>
      <c r="I59" s="29" t="s">
        <v>810</v>
      </c>
      <c r="J59" s="29" t="s">
        <v>811</v>
      </c>
      <c r="K59" s="29" t="s">
        <v>931</v>
      </c>
      <c r="L59" s="20"/>
      <c r="M59" s="20"/>
      <c r="N59" s="20"/>
      <c r="O59" s="20"/>
      <c r="P59" s="20"/>
      <c r="Q59" s="20"/>
      <c r="R59" s="20"/>
      <c r="S59" s="20"/>
      <c r="T59" s="20"/>
      <c r="U59" s="20"/>
      <c r="V59" s="20"/>
      <c r="W59" s="20"/>
      <c r="X59" s="20"/>
      <c r="Y59" s="20"/>
      <c r="Z59" s="20"/>
    </row>
    <row r="60" ht="45.0" customHeight="1">
      <c r="A60" s="30">
        <v>46150.33556712963</v>
      </c>
      <c r="B60" s="29" t="s">
        <v>806</v>
      </c>
      <c r="C60" s="29" t="s">
        <v>807</v>
      </c>
      <c r="D60" s="31" t="s">
        <v>716</v>
      </c>
      <c r="E60" s="20"/>
      <c r="F60" s="34" t="str">
        <f>HYPERLINK("https://drive.google.com/file/d/1-BXbYOp0f_djztXfEFLLrV7YZ-taBbPB/view?usp=drivesdk", "사진보기")</f>
        <v>사진보기</v>
      </c>
      <c r="G60" s="29" t="s">
        <v>928</v>
      </c>
      <c r="H60" s="34" t="str">
        <f>HYPERLINK("https://drive.google.com/thumbnail?sz=w1000&amp;id=1H7xWxP4dB9AtBRsJItC7N_GMZiKpegbJ", "서명보기")</f>
        <v>서명보기</v>
      </c>
      <c r="I60" s="29" t="s">
        <v>810</v>
      </c>
      <c r="J60" s="29" t="s">
        <v>811</v>
      </c>
      <c r="K60" s="29" t="s">
        <v>934</v>
      </c>
      <c r="L60" s="20"/>
      <c r="M60" s="20"/>
      <c r="N60" s="20"/>
      <c r="O60" s="20"/>
      <c r="P60" s="20"/>
      <c r="Q60" s="20"/>
      <c r="R60" s="20"/>
      <c r="S60" s="20"/>
      <c r="T60" s="20"/>
      <c r="U60" s="20"/>
      <c r="V60" s="20"/>
      <c r="W60" s="20"/>
      <c r="X60" s="20"/>
      <c r="Y60" s="20"/>
      <c r="Z60" s="20"/>
    </row>
    <row r="61" ht="45.0" customHeight="1">
      <c r="A61" s="30">
        <v>46153.33488425926</v>
      </c>
      <c r="B61" s="29" t="s">
        <v>806</v>
      </c>
      <c r="C61" s="29" t="s">
        <v>807</v>
      </c>
      <c r="D61" s="31" t="s">
        <v>716</v>
      </c>
      <c r="E61" s="20"/>
      <c r="F61" s="34" t="str">
        <f>HYPERLINK("https://drive.google.com/file/d/1h7DiyHwlsDlp8Qm1nmEVIeBKkG6lK2KY/view?usp=drivesdk", "사진보기")</f>
        <v>사진보기</v>
      </c>
      <c r="G61" s="29" t="s">
        <v>809</v>
      </c>
      <c r="H61" s="34" t="str">
        <f>HYPERLINK("https://drive.google.com/thumbnail?sz=w1000&amp;id=1FzkBpEXOaJAX9SO3rE01-WOCDisE4dqZ", "서명보기")</f>
        <v>서명보기</v>
      </c>
      <c r="I61" s="29" t="s">
        <v>810</v>
      </c>
      <c r="J61" s="29" t="s">
        <v>811</v>
      </c>
      <c r="K61" s="29" t="s">
        <v>936</v>
      </c>
      <c r="L61" s="20"/>
      <c r="M61" s="20"/>
      <c r="N61" s="20"/>
      <c r="O61" s="20"/>
      <c r="P61" s="20"/>
      <c r="Q61" s="20"/>
      <c r="R61" s="20"/>
      <c r="S61" s="20"/>
      <c r="T61" s="20"/>
      <c r="U61" s="20"/>
      <c r="V61" s="20"/>
      <c r="W61" s="20"/>
      <c r="X61" s="20"/>
      <c r="Y61" s="20"/>
      <c r="Z61" s="20"/>
    </row>
    <row r="62" ht="45.0" customHeight="1">
      <c r="A62" s="30">
        <v>46154.33521990741</v>
      </c>
      <c r="B62" s="29" t="s">
        <v>806</v>
      </c>
      <c r="C62" s="29" t="s">
        <v>807</v>
      </c>
      <c r="D62" s="35"/>
      <c r="E62" s="20"/>
      <c r="F62" s="34" t="str">
        <f>HYPERLINK("https://drive.google.com/file/d/1IhtNIXKh_ymtfB3Ri7t2FPW2vI3zR7Up/view?usp=drivesdk", "사진보기")</f>
        <v>사진보기</v>
      </c>
      <c r="G62" s="29" t="s">
        <v>809</v>
      </c>
      <c r="H62" s="34" t="str">
        <f>HYPERLINK("https://drive.google.com/thumbnail?sz=w1000&amp;id=1h6fBsQxVwZKnmKGo2AMeNvCT01NyQExI", "서명보기")</f>
        <v>서명보기</v>
      </c>
      <c r="I62" s="29" t="s">
        <v>810</v>
      </c>
      <c r="J62" s="29" t="s">
        <v>811</v>
      </c>
      <c r="K62" s="29" t="s">
        <v>939</v>
      </c>
      <c r="L62" s="20"/>
      <c r="M62" s="20"/>
      <c r="N62" s="20"/>
      <c r="O62" s="20"/>
      <c r="P62" s="20"/>
      <c r="Q62" s="20"/>
      <c r="R62" s="20"/>
      <c r="S62" s="20"/>
      <c r="T62" s="20"/>
      <c r="U62" s="20"/>
      <c r="V62" s="20"/>
      <c r="W62" s="20"/>
      <c r="X62" s="20"/>
      <c r="Y62" s="20"/>
      <c r="Z62" s="20"/>
    </row>
    <row r="63" ht="45.0" customHeight="1">
      <c r="A63" s="30">
        <v>46155.333969907406</v>
      </c>
      <c r="B63" s="29" t="s">
        <v>806</v>
      </c>
      <c r="C63" s="29" t="s">
        <v>807</v>
      </c>
      <c r="D63" s="31" t="s">
        <v>716</v>
      </c>
      <c r="E63" s="29" t="s">
        <v>941</v>
      </c>
      <c r="F63" s="34" t="str">
        <f>HYPERLINK("https://drive.google.com/file/d/1wgF_pGeG9Kh07cgBIleXc-Zt3DxC_CKs/view?usp=drivesdk", "사진보기")</f>
        <v>사진보기</v>
      </c>
      <c r="G63" s="29" t="s">
        <v>809</v>
      </c>
      <c r="H63" s="34" t="str">
        <f>HYPERLINK("https://drive.google.com/thumbnail?sz=w1000&amp;id=11oLrmNtklXz5T1qALe3TY_I0iF57DQVx", "서명보기")</f>
        <v>서명보기</v>
      </c>
      <c r="I63" s="29" t="s">
        <v>810</v>
      </c>
      <c r="J63" s="29" t="s">
        <v>811</v>
      </c>
      <c r="K63" s="29" t="s">
        <v>944</v>
      </c>
      <c r="L63" s="20"/>
      <c r="M63" s="20"/>
      <c r="N63" s="20"/>
      <c r="O63" s="20"/>
      <c r="P63" s="20"/>
      <c r="Q63" s="20"/>
      <c r="R63" s="20"/>
      <c r="S63" s="20"/>
      <c r="T63" s="20"/>
      <c r="U63" s="20"/>
      <c r="V63" s="20"/>
      <c r="W63" s="20"/>
      <c r="X63" s="20"/>
      <c r="Y63" s="20"/>
      <c r="Z63" s="20"/>
    </row>
    <row r="64" ht="45.0" customHeight="1">
      <c r="A64" s="30">
        <v>46156.33393518518</v>
      </c>
      <c r="B64" s="29" t="s">
        <v>806</v>
      </c>
      <c r="C64" s="29" t="s">
        <v>807</v>
      </c>
      <c r="D64" s="31" t="s">
        <v>716</v>
      </c>
      <c r="E64" s="20"/>
      <c r="F64" s="34" t="str">
        <f>HYPERLINK("https://drive.google.com/file/d/1ICYCZrnbJC6e-0lKZ4RQMImk8DFQgdR1/view?usp=drivesdk", "사진보기")</f>
        <v>사진보기</v>
      </c>
      <c r="G64" s="29" t="s">
        <v>809</v>
      </c>
      <c r="H64" s="34" t="str">
        <f>HYPERLINK("https://drive.google.com/thumbnail?sz=w1000&amp;id=1idH_q484gPJa4av9FY6Tlq5X5IJ1N15g", "서명보기")</f>
        <v>서명보기</v>
      </c>
      <c r="I64" s="29" t="s">
        <v>810</v>
      </c>
      <c r="J64" s="29" t="s">
        <v>811</v>
      </c>
      <c r="K64" s="29" t="s">
        <v>805</v>
      </c>
      <c r="L64" s="20"/>
      <c r="M64" s="20"/>
      <c r="N64" s="20"/>
      <c r="O64" s="20"/>
      <c r="P64" s="20"/>
      <c r="Q64" s="20"/>
      <c r="R64" s="20"/>
      <c r="S64" s="20"/>
      <c r="T64" s="20"/>
      <c r="U64" s="20"/>
      <c r="V64" s="20"/>
      <c r="W64" s="20"/>
      <c r="X64" s="20"/>
      <c r="Y64" s="20"/>
      <c r="Z64" s="20"/>
    </row>
    <row r="65" ht="45.0" customHeight="1">
      <c r="A65" s="30">
        <v>46157.33528935185</v>
      </c>
      <c r="B65" s="29" t="s">
        <v>806</v>
      </c>
      <c r="C65" s="29" t="s">
        <v>807</v>
      </c>
      <c r="D65" s="31" t="s">
        <v>716</v>
      </c>
      <c r="E65" s="20"/>
      <c r="F65" s="34" t="str">
        <f>HYPERLINK("https://drive.google.com/file/d/1Px2EfbewRDMkAAorAf_6rWTXgfSG-BVk/view?usp=drivesdk", "사진보기")</f>
        <v>사진보기</v>
      </c>
      <c r="G65" s="29" t="s">
        <v>809</v>
      </c>
      <c r="H65" s="34" t="str">
        <f>HYPERLINK("https://drive.google.com/thumbnail?sz=w1000&amp;id=1dF61v9silvKAkuU7eq3O4-EjgYj0cRZI", "서명보기")</f>
        <v>서명보기</v>
      </c>
      <c r="I65" s="29" t="s">
        <v>810</v>
      </c>
      <c r="J65" s="29" t="s">
        <v>811</v>
      </c>
      <c r="K65" s="29" t="s">
        <v>948</v>
      </c>
      <c r="L65" s="20"/>
      <c r="M65" s="20"/>
      <c r="N65" s="20"/>
      <c r="O65" s="20"/>
      <c r="P65" s="20"/>
      <c r="Q65" s="20"/>
      <c r="R65" s="20"/>
      <c r="S65" s="20"/>
      <c r="T65" s="20"/>
      <c r="U65" s="20"/>
      <c r="V65" s="20"/>
      <c r="W65" s="20"/>
      <c r="X65" s="20"/>
      <c r="Y65" s="20"/>
      <c r="Z65" s="20"/>
    </row>
    <row r="66" ht="45.0" customHeight="1">
      <c r="A66" s="30">
        <v>46160.33482638889</v>
      </c>
      <c r="B66" s="29" t="s">
        <v>806</v>
      </c>
      <c r="C66" s="29" t="s">
        <v>807</v>
      </c>
      <c r="D66" s="31" t="s">
        <v>716</v>
      </c>
      <c r="E66" s="20"/>
      <c r="F66" s="34" t="str">
        <f>HYPERLINK("https://drive.google.com/file/d/1VMAVh90qVTG2SsnWL88Fnemnn4XoFzrK/view?usp=drivesdk", "사진보기")</f>
        <v>사진보기</v>
      </c>
      <c r="G66" s="29" t="s">
        <v>809</v>
      </c>
      <c r="H66" s="34" t="str">
        <f>HYPERLINK("https://drive.google.com/thumbnail?sz=w1000&amp;id=1FlYNP8Wx43cnOZJgYPxQq2FABkpBshQA", "서명보기")</f>
        <v>서명보기</v>
      </c>
      <c r="I66" s="29" t="s">
        <v>810</v>
      </c>
      <c r="J66" s="29" t="s">
        <v>811</v>
      </c>
      <c r="K66" s="29" t="s">
        <v>950</v>
      </c>
      <c r="L66" s="20"/>
      <c r="M66" s="20"/>
      <c r="N66" s="20"/>
      <c r="O66" s="20"/>
      <c r="P66" s="20"/>
      <c r="Q66" s="20"/>
      <c r="R66" s="20"/>
      <c r="S66" s="20"/>
      <c r="T66" s="20"/>
      <c r="U66" s="20"/>
      <c r="V66" s="20"/>
      <c r="W66" s="20"/>
      <c r="X66" s="20"/>
      <c r="Y66" s="20"/>
      <c r="Z66" s="20"/>
    </row>
    <row r="67" ht="45.0" customHeight="1">
      <c r="A67" s="30">
        <v>46161.334189814814</v>
      </c>
      <c r="B67" s="29" t="s">
        <v>806</v>
      </c>
      <c r="C67" s="29" t="s">
        <v>807</v>
      </c>
      <c r="D67" s="31" t="s">
        <v>716</v>
      </c>
      <c r="E67" s="20"/>
      <c r="F67" s="34" t="str">
        <f>HYPERLINK("https://drive.google.com/file/d/18CSVDpkW1bQJmaFvBmIFbuFVrTf-xgtO/view?usp=drivesdk", "사진보기")</f>
        <v>사진보기</v>
      </c>
      <c r="G67" s="29" t="s">
        <v>809</v>
      </c>
      <c r="H67" s="34" t="str">
        <f>HYPERLINK("https://drive.google.com/thumbnail?sz=w1000&amp;id=10XtqfCvKTbIoKggv76swe-HWmhByVnc8", "서명보기")</f>
        <v>서명보기</v>
      </c>
      <c r="I67" s="29" t="s">
        <v>810</v>
      </c>
      <c r="J67" s="29" t="s">
        <v>811</v>
      </c>
      <c r="K67" s="29" t="s">
        <v>952</v>
      </c>
      <c r="L67" s="20"/>
      <c r="M67" s="20"/>
      <c r="N67" s="20"/>
      <c r="O67" s="20"/>
      <c r="P67" s="20"/>
      <c r="Q67" s="20"/>
      <c r="R67" s="20"/>
      <c r="S67" s="20"/>
      <c r="T67" s="20"/>
      <c r="U67" s="20"/>
      <c r="V67" s="20"/>
      <c r="W67" s="20"/>
      <c r="X67" s="20"/>
      <c r="Y67" s="20"/>
      <c r="Z67" s="20"/>
    </row>
    <row r="68" ht="45.0" customHeight="1">
      <c r="A68" s="30">
        <v>46162.3344212963</v>
      </c>
      <c r="B68" s="29" t="s">
        <v>806</v>
      </c>
      <c r="C68" s="29" t="s">
        <v>807</v>
      </c>
      <c r="D68" s="31" t="s">
        <v>716</v>
      </c>
      <c r="E68" s="20"/>
      <c r="F68" s="34" t="str">
        <f>HYPERLINK("https://drive.google.com/file/d/1WvcVGvt11b7OUVUGOFm_sHhHvS2jfBdA/view?usp=drivesdk", "사진보기")</f>
        <v>사진보기</v>
      </c>
      <c r="G68" s="29" t="s">
        <v>809</v>
      </c>
      <c r="H68" s="34" t="str">
        <f>HYPERLINK("https://drive.google.com/thumbnail?sz=w1000&amp;id=15_k_X7TkiDDkgytFZ-BBKIhBj0Y5dMJz", "서명보기")</f>
        <v>서명보기</v>
      </c>
      <c r="I68" s="29" t="s">
        <v>810</v>
      </c>
      <c r="J68" s="29" t="s">
        <v>811</v>
      </c>
      <c r="K68" s="29" t="s">
        <v>954</v>
      </c>
      <c r="L68" s="20"/>
      <c r="M68" s="20"/>
      <c r="N68" s="20"/>
      <c r="O68" s="20"/>
      <c r="P68" s="20"/>
      <c r="Q68" s="20"/>
      <c r="R68" s="20"/>
      <c r="S68" s="20"/>
      <c r="T68" s="20"/>
      <c r="U68" s="20"/>
      <c r="V68" s="20"/>
      <c r="W68" s="20"/>
      <c r="X68" s="20"/>
      <c r="Y68" s="20"/>
      <c r="Z68" s="20"/>
    </row>
    <row r="69" ht="45.0" customHeight="1">
      <c r="A69" s="30">
        <v>46163.33528935185</v>
      </c>
      <c r="B69" s="29" t="s">
        <v>806</v>
      </c>
      <c r="C69" s="29" t="s">
        <v>807</v>
      </c>
      <c r="D69" s="31" t="s">
        <v>716</v>
      </c>
      <c r="E69" s="20"/>
      <c r="F69" s="34" t="str">
        <f>HYPERLINK("https://drive.google.com/file/d/10cR0Po_kNKpiqg8hZ72_g604CCX2dOrh/view?usp=drivesdk", "사진보기")</f>
        <v>사진보기</v>
      </c>
      <c r="G69" s="29" t="s">
        <v>809</v>
      </c>
      <c r="H69" s="34" t="str">
        <f>HYPERLINK("https://drive.google.com/thumbnail?sz=w1000&amp;id=1JihKNQkD_Zr74tEF33gNEqA6BeeyrK33", "서명보기")</f>
        <v>서명보기</v>
      </c>
      <c r="I69" s="29" t="s">
        <v>810</v>
      </c>
      <c r="J69" s="29" t="s">
        <v>811</v>
      </c>
      <c r="K69" s="29" t="s">
        <v>939</v>
      </c>
      <c r="L69" s="20"/>
      <c r="M69" s="20"/>
      <c r="N69" s="20"/>
      <c r="O69" s="20"/>
      <c r="P69" s="20"/>
      <c r="Q69" s="20"/>
      <c r="R69" s="20"/>
      <c r="S69" s="20"/>
      <c r="T69" s="20"/>
      <c r="U69" s="20"/>
      <c r="V69" s="20"/>
      <c r="W69" s="20"/>
      <c r="X69" s="20"/>
      <c r="Y69" s="20"/>
      <c r="Z69" s="20"/>
    </row>
    <row r="70" ht="45.0" customHeight="1">
      <c r="A70" s="30">
        <v>46164.33398148148</v>
      </c>
      <c r="B70" s="29" t="s">
        <v>806</v>
      </c>
      <c r="C70" s="29" t="s">
        <v>807</v>
      </c>
      <c r="D70" s="31" t="s">
        <v>716</v>
      </c>
      <c r="E70" s="20"/>
      <c r="F70" s="34" t="str">
        <f>HYPERLINK("https://drive.google.com/file/d/1eVgsizxcrL74eAkb5mWrWsaO2bq8U1UU/view?usp=drivesdk", "사진보기")</f>
        <v>사진보기</v>
      </c>
      <c r="G70" s="29" t="s">
        <v>957</v>
      </c>
      <c r="H70" s="34" t="str">
        <f>HYPERLINK("https://drive.google.com/thumbnail?sz=w1000&amp;id=12sL1IYnTqNeE9qi5VnqNox3Tm8cw_q0W", "서명보기")</f>
        <v>서명보기</v>
      </c>
      <c r="I70" s="29" t="s">
        <v>810</v>
      </c>
      <c r="J70" s="29" t="s">
        <v>811</v>
      </c>
      <c r="K70" s="29" t="s">
        <v>958</v>
      </c>
      <c r="L70" s="20"/>
      <c r="M70" s="20"/>
      <c r="N70" s="20"/>
      <c r="O70" s="20"/>
      <c r="P70" s="20"/>
      <c r="Q70" s="20"/>
      <c r="R70" s="20"/>
      <c r="S70" s="20"/>
      <c r="T70" s="20"/>
      <c r="U70" s="20"/>
      <c r="V70" s="20"/>
      <c r="W70" s="20"/>
      <c r="X70" s="20"/>
      <c r="Y70" s="20"/>
      <c r="Z70" s="20"/>
    </row>
    <row r="71" ht="45.0" customHeight="1">
      <c r="A71" s="30">
        <v>46168.33380787037</v>
      </c>
      <c r="B71" s="29" t="s">
        <v>806</v>
      </c>
      <c r="C71" s="29" t="s">
        <v>807</v>
      </c>
      <c r="D71" s="31" t="s">
        <v>716</v>
      </c>
      <c r="E71" s="20"/>
      <c r="F71" s="34" t="str">
        <f>HYPERLINK("https://drive.google.com/file/d/1bgZMLZGIAav06al0P_2E7yngBtjq218J/view?usp=drivesdk", "사진보기")</f>
        <v>사진보기</v>
      </c>
      <c r="G71" s="29" t="s">
        <v>809</v>
      </c>
      <c r="H71" s="34" t="str">
        <f>HYPERLINK("https://drive.google.com/thumbnail?sz=w1000&amp;id=13yj4fkOBcYriG0RdzN4K4RO9ULhyJUSe", "서명보기")</f>
        <v>서명보기</v>
      </c>
      <c r="I71" s="29" t="s">
        <v>810</v>
      </c>
      <c r="J71" s="29" t="s">
        <v>811</v>
      </c>
      <c r="K71" s="29" t="s">
        <v>960</v>
      </c>
      <c r="L71" s="20"/>
      <c r="M71" s="20"/>
      <c r="N71" s="20"/>
      <c r="O71" s="20"/>
      <c r="P71" s="20"/>
      <c r="Q71" s="20"/>
      <c r="R71" s="20"/>
      <c r="S71" s="20"/>
      <c r="T71" s="20"/>
      <c r="U71" s="20"/>
      <c r="V71" s="20"/>
      <c r="W71" s="20"/>
      <c r="X71" s="20"/>
      <c r="Y71" s="20"/>
      <c r="Z71" s="20"/>
    </row>
    <row r="72" ht="45.0" customHeight="1">
      <c r="A72" s="30">
        <v>46169.334282407406</v>
      </c>
      <c r="B72" s="29" t="s">
        <v>806</v>
      </c>
      <c r="C72" s="29" t="s">
        <v>807</v>
      </c>
      <c r="D72" s="31" t="s">
        <v>716</v>
      </c>
      <c r="E72" s="20"/>
      <c r="F72" s="34" t="str">
        <f>HYPERLINK("https://drive.google.com/file/d/1GZhl1CWWAuzigDo4kIYcy-TIfd1fstxG/view?usp=drivesdk", "사진보기")</f>
        <v>사진보기</v>
      </c>
      <c r="G72" s="29" t="s">
        <v>809</v>
      </c>
      <c r="H72" s="34" t="str">
        <f>HYPERLINK("https://drive.google.com/thumbnail?sz=w1000&amp;id=1CDmBQbc2mqfFzVldf4q_evMp39S6f-ef", "서명보기")</f>
        <v>서명보기</v>
      </c>
      <c r="I72" s="29" t="s">
        <v>810</v>
      </c>
      <c r="J72" s="29" t="s">
        <v>811</v>
      </c>
      <c r="K72" s="29" t="s">
        <v>963</v>
      </c>
      <c r="L72" s="20"/>
      <c r="M72" s="20"/>
      <c r="N72" s="20"/>
      <c r="O72" s="20"/>
      <c r="P72" s="20"/>
      <c r="Q72" s="20"/>
      <c r="R72" s="20"/>
      <c r="S72" s="20"/>
      <c r="T72" s="20"/>
      <c r="U72" s="20"/>
      <c r="V72" s="20"/>
      <c r="W72" s="20"/>
      <c r="X72" s="20"/>
      <c r="Y72" s="20"/>
      <c r="Z72" s="20"/>
    </row>
    <row r="73" ht="45.0" customHeight="1">
      <c r="A73" s="30">
        <v>46170.334444444445</v>
      </c>
      <c r="B73" s="29" t="s">
        <v>806</v>
      </c>
      <c r="C73" s="29" t="s">
        <v>807</v>
      </c>
      <c r="D73" s="31" t="s">
        <v>716</v>
      </c>
      <c r="E73" s="20"/>
      <c r="F73" s="34" t="str">
        <f>HYPERLINK("https://drive.google.com/file/d/1-Rt9EXpJERSrk4o-yRv4s5NNFQmDqnhE/view?usp=drivesdk", "사진보기")</f>
        <v>사진보기</v>
      </c>
      <c r="G73" s="29" t="s">
        <v>809</v>
      </c>
      <c r="H73" s="34" t="str">
        <f>HYPERLINK("https://drive.google.com/thumbnail?sz=w1000&amp;id=1KwY8b7HECAti6ihZrYBNF731tSPE2erg", "서명보기")</f>
        <v>서명보기</v>
      </c>
      <c r="I73" s="29" t="s">
        <v>810</v>
      </c>
      <c r="J73" s="29" t="s">
        <v>811</v>
      </c>
      <c r="K73" s="29" t="s">
        <v>967</v>
      </c>
      <c r="L73" s="20"/>
      <c r="M73" s="20"/>
      <c r="N73" s="20"/>
      <c r="O73" s="20"/>
      <c r="P73" s="20"/>
      <c r="Q73" s="20"/>
      <c r="R73" s="20"/>
      <c r="S73" s="20"/>
      <c r="T73" s="20"/>
      <c r="U73" s="20"/>
      <c r="V73" s="20"/>
      <c r="W73" s="20"/>
      <c r="X73" s="20"/>
      <c r="Y73" s="20"/>
      <c r="Z73" s="20"/>
    </row>
    <row r="74" ht="45.0" customHeight="1">
      <c r="A74" s="30">
        <v>46171.33793981482</v>
      </c>
      <c r="B74" s="29" t="s">
        <v>806</v>
      </c>
      <c r="C74" s="29" t="s">
        <v>807</v>
      </c>
      <c r="D74" s="31" t="s">
        <v>716</v>
      </c>
      <c r="E74" s="20"/>
      <c r="F74" s="34" t="str">
        <f>HYPERLINK("https://drive.google.com/file/d/1SfR66VAAgTt-Xn66BQ1_xsxfpbjI3dnW/view?usp=drivesdk", "사진보기")</f>
        <v>사진보기</v>
      </c>
      <c r="G74" s="29" t="s">
        <v>809</v>
      </c>
      <c r="H74" s="34" t="str">
        <f>HYPERLINK("https://drive.google.com/thumbnail?sz=w1000&amp;id=1C0pdBGT2Qa85aTr4BY9NAbgDc5Kj7aIE", "서명보기")</f>
        <v>서명보기</v>
      </c>
      <c r="I74" s="29" t="s">
        <v>810</v>
      </c>
      <c r="J74" s="29" t="s">
        <v>811</v>
      </c>
      <c r="K74" s="29" t="s">
        <v>970</v>
      </c>
      <c r="L74" s="20"/>
      <c r="M74" s="20"/>
      <c r="N74" s="20"/>
      <c r="O74" s="20"/>
      <c r="P74" s="20"/>
      <c r="Q74" s="20"/>
      <c r="R74" s="20"/>
      <c r="S74" s="20"/>
      <c r="T74" s="20"/>
      <c r="U74" s="20"/>
      <c r="V74" s="20"/>
      <c r="W74" s="20"/>
      <c r="X74" s="20"/>
      <c r="Y74" s="20"/>
      <c r="Z74" s="20"/>
    </row>
    <row r="75" ht="45.0" customHeight="1">
      <c r="A75" s="30">
        <v>46174.33530092592</v>
      </c>
      <c r="B75" s="29" t="s">
        <v>806</v>
      </c>
      <c r="C75" s="29" t="s">
        <v>807</v>
      </c>
      <c r="D75" s="31" t="s">
        <v>716</v>
      </c>
      <c r="E75" s="20"/>
      <c r="F75" s="34" t="str">
        <f>HYPERLINK("https://drive.google.com/file/d/1-vrJNk0LrOLL0_ctzja-ZNGSZJGqWyCi/view?usp=drivesdk", "사진보기")</f>
        <v>사진보기</v>
      </c>
      <c r="G75" s="29" t="s">
        <v>809</v>
      </c>
      <c r="H75" s="34" t="str">
        <f>HYPERLINK("https://drive.google.com/thumbnail?sz=w1000&amp;id=1-X3Rd9g1vTVU4MeWQlxBtw-t7PY5aOpQ", "서명보기")</f>
        <v>서명보기</v>
      </c>
      <c r="I75" s="29" t="s">
        <v>810</v>
      </c>
      <c r="J75" s="29" t="s">
        <v>811</v>
      </c>
      <c r="K75" s="29" t="s">
        <v>974</v>
      </c>
      <c r="L75" s="20"/>
      <c r="M75" s="20"/>
      <c r="N75" s="20"/>
      <c r="O75" s="20"/>
      <c r="P75" s="20"/>
      <c r="Q75" s="20"/>
      <c r="R75" s="20"/>
      <c r="S75" s="20"/>
      <c r="T75" s="20"/>
      <c r="U75" s="20"/>
      <c r="V75" s="20"/>
      <c r="W75" s="20"/>
      <c r="X75" s="20"/>
      <c r="Y75" s="20"/>
      <c r="Z75" s="20"/>
    </row>
    <row r="76" ht="45.0" customHeight="1">
      <c r="A76" s="30">
        <v>46175.334178240744</v>
      </c>
      <c r="B76" s="29" t="s">
        <v>806</v>
      </c>
      <c r="C76" s="29" t="s">
        <v>807</v>
      </c>
      <c r="D76" s="31" t="s">
        <v>716</v>
      </c>
      <c r="E76" s="20"/>
      <c r="F76" s="34" t="str">
        <f>HYPERLINK("https://drive.google.com/file/d/1rgwxIAYnYBZ_OlNwwTrCGqzhttRhwMrG/view?usp=drivesdk", "사진보기")</f>
        <v>사진보기</v>
      </c>
      <c r="G76" s="29" t="s">
        <v>809</v>
      </c>
      <c r="H76" s="34" t="str">
        <f>HYPERLINK("https://drive.google.com/thumbnail?sz=w1000&amp;id=1ymqg_N01DJHaACHUfwd6Xe0pLzDSIDJ8", "서명보기")</f>
        <v>서명보기</v>
      </c>
      <c r="I76" s="29" t="s">
        <v>810</v>
      </c>
      <c r="J76" s="29" t="s">
        <v>811</v>
      </c>
      <c r="K76" s="29" t="s">
        <v>978</v>
      </c>
      <c r="L76" s="20"/>
      <c r="M76" s="20"/>
      <c r="N76" s="20"/>
      <c r="O76" s="20"/>
      <c r="P76" s="20"/>
      <c r="Q76" s="20"/>
      <c r="R76" s="20"/>
      <c r="S76" s="20"/>
      <c r="T76" s="20"/>
      <c r="U76" s="20"/>
      <c r="V76" s="20"/>
      <c r="W76" s="20"/>
      <c r="X76" s="20"/>
      <c r="Y76" s="20"/>
      <c r="Z76" s="20"/>
    </row>
    <row r="77" ht="45.0" customHeight="1">
      <c r="A77" s="30">
        <v>46177.33387731481</v>
      </c>
      <c r="B77" s="29" t="s">
        <v>806</v>
      </c>
      <c r="C77" s="29" t="s">
        <v>807</v>
      </c>
      <c r="D77" s="31" t="s">
        <v>716</v>
      </c>
      <c r="E77" s="20"/>
      <c r="F77" s="34" t="str">
        <f>HYPERLINK("https://drive.google.com/file/d/1_bFtD_1SydM7XUTi2Xrh9VI0DMPBDGtf/view?usp=drivesdk", "사진보기")</f>
        <v>사진보기</v>
      </c>
      <c r="G77" s="29" t="s">
        <v>809</v>
      </c>
      <c r="H77" s="34" t="str">
        <f>HYPERLINK("https://drive.google.com/thumbnail?sz=w1000&amp;id=144ZzyyFhqfIqbB0gxlho3u3LWY5vrxCy", "서명보기")</f>
        <v>서명보기</v>
      </c>
      <c r="I77" s="29" t="s">
        <v>810</v>
      </c>
      <c r="J77" s="29" t="s">
        <v>811</v>
      </c>
      <c r="K77" s="29" t="s">
        <v>981</v>
      </c>
      <c r="L77" s="20"/>
      <c r="M77" s="20"/>
      <c r="N77" s="20"/>
      <c r="O77" s="20"/>
      <c r="P77" s="20"/>
      <c r="Q77" s="20"/>
      <c r="R77" s="20"/>
      <c r="S77" s="20"/>
      <c r="T77" s="20"/>
      <c r="U77" s="20"/>
      <c r="V77" s="20"/>
      <c r="W77" s="20"/>
      <c r="X77" s="20"/>
      <c r="Y77" s="20"/>
      <c r="Z77" s="20"/>
    </row>
    <row r="78" ht="45.0" customHeight="1">
      <c r="A78" s="30">
        <v>46178.333761574075</v>
      </c>
      <c r="B78" s="29" t="s">
        <v>806</v>
      </c>
      <c r="C78" s="29" t="s">
        <v>807</v>
      </c>
      <c r="D78" s="31" t="s">
        <v>716</v>
      </c>
      <c r="E78" s="20"/>
      <c r="F78" s="34" t="str">
        <f>HYPERLINK("https://drive.google.com/file/d/1pxQR1VJcdoZMyDmrjztgl1sVU36IvdHN/view?usp=drivesdk", "사진보기")</f>
        <v>사진보기</v>
      </c>
      <c r="G78" s="29" t="s">
        <v>809</v>
      </c>
      <c r="H78" s="34" t="str">
        <f>HYPERLINK("https://drive.google.com/thumbnail?sz=w1000&amp;id=1QMHewVVuBBTQYf_5gLT6lVuTrQdIZjKa", "서명보기")</f>
        <v>서명보기</v>
      </c>
      <c r="I78" s="29" t="s">
        <v>810</v>
      </c>
      <c r="J78" s="29" t="s">
        <v>811</v>
      </c>
      <c r="K78" s="29" t="s">
        <v>984</v>
      </c>
      <c r="L78" s="20"/>
      <c r="M78" s="20"/>
      <c r="N78" s="20"/>
      <c r="O78" s="20"/>
      <c r="P78" s="20"/>
      <c r="Q78" s="20"/>
      <c r="R78" s="20"/>
      <c r="S78" s="20"/>
      <c r="T78" s="20"/>
      <c r="U78" s="20"/>
      <c r="V78" s="20"/>
      <c r="W78" s="20"/>
      <c r="X78" s="20"/>
      <c r="Y78" s="20"/>
      <c r="Z78" s="20"/>
    </row>
    <row r="79" ht="45.0" customHeight="1">
      <c r="A79" s="30">
        <v>46181.33431712963</v>
      </c>
      <c r="B79" s="29" t="s">
        <v>806</v>
      </c>
      <c r="C79" s="29" t="s">
        <v>807</v>
      </c>
      <c r="D79" s="31" t="s">
        <v>716</v>
      </c>
      <c r="E79" s="20"/>
      <c r="F79" s="34" t="str">
        <f>HYPERLINK("https://drive.google.com/file/d/1cXqgwMgx9aM3jJJpOfwdlNVLVEmnXpPY/view?usp=drivesdk", "사진보기")</f>
        <v>사진보기</v>
      </c>
      <c r="G79" s="29" t="s">
        <v>809</v>
      </c>
      <c r="H79" s="34" t="str">
        <f>HYPERLINK("https://drive.google.com/thumbnail?sz=w1000&amp;id=1EEIn3Xhqc6hs_9-TO5u9wB3J8v3wZSP-", "서명보기")</f>
        <v>서명보기</v>
      </c>
      <c r="I79" s="29" t="s">
        <v>810</v>
      </c>
      <c r="J79" s="29" t="s">
        <v>811</v>
      </c>
      <c r="K79" s="29" t="s">
        <v>988</v>
      </c>
      <c r="L79" s="20"/>
      <c r="M79" s="20"/>
      <c r="N79" s="20"/>
      <c r="O79" s="20"/>
      <c r="P79" s="20"/>
      <c r="Q79" s="20"/>
      <c r="R79" s="20"/>
      <c r="S79" s="20"/>
      <c r="T79" s="20"/>
      <c r="U79" s="20"/>
      <c r="V79" s="20"/>
      <c r="W79" s="20"/>
      <c r="X79" s="20"/>
      <c r="Y79" s="20"/>
      <c r="Z79" s="20"/>
    </row>
    <row r="80" ht="45.0" customHeight="1">
      <c r="A80" s="30">
        <v>46182.334027777775</v>
      </c>
      <c r="B80" s="29" t="s">
        <v>806</v>
      </c>
      <c r="C80" s="29" t="s">
        <v>807</v>
      </c>
      <c r="D80" s="31" t="s">
        <v>716</v>
      </c>
      <c r="E80" s="20"/>
      <c r="F80" s="34" t="str">
        <f>HYPERLINK("https://drive.google.com/file/d/10Uh9D7xO3TRX384uxTpH7xiSeIxKozxM/view?usp=drivesdk", "사진보기")</f>
        <v>사진보기</v>
      </c>
      <c r="G80" s="29" t="s">
        <v>809</v>
      </c>
      <c r="H80" s="34" t="str">
        <f>HYPERLINK("https://drive.google.com/thumbnail?sz=w1000&amp;id=14_5O32LqqFUMtwv-c5NvAxFvuP9PYF9u", "서명보기")</f>
        <v>서명보기</v>
      </c>
      <c r="I80" s="29" t="s">
        <v>810</v>
      </c>
      <c r="J80" s="29" t="s">
        <v>811</v>
      </c>
      <c r="K80" s="29" t="s">
        <v>991</v>
      </c>
      <c r="L80" s="20"/>
      <c r="M80" s="20"/>
      <c r="N80" s="20"/>
      <c r="O80" s="20"/>
      <c r="P80" s="20"/>
      <c r="Q80" s="20"/>
      <c r="R80" s="20"/>
      <c r="S80" s="20"/>
      <c r="T80" s="20"/>
      <c r="U80" s="20"/>
      <c r="V80" s="20"/>
      <c r="W80" s="20"/>
      <c r="X80" s="20"/>
      <c r="Y80" s="20"/>
      <c r="Z80" s="20"/>
    </row>
    <row r="81" ht="45.0" customHeight="1">
      <c r="A81" s="30">
        <v>46183.334085648145</v>
      </c>
      <c r="B81" s="29" t="s">
        <v>806</v>
      </c>
      <c r="C81" s="29" t="s">
        <v>807</v>
      </c>
      <c r="D81" s="31" t="s">
        <v>716</v>
      </c>
      <c r="E81" s="20"/>
      <c r="F81" s="34" t="str">
        <f>HYPERLINK("https://drive.google.com/file/d/1CIWBqmtIutTlWpeeEaobHNvToIoZOie9/view?usp=drivesdk", "사진보기")</f>
        <v>사진보기</v>
      </c>
      <c r="G81" s="29" t="s">
        <v>809</v>
      </c>
      <c r="H81" s="34" t="str">
        <f>HYPERLINK("https://drive.google.com/thumbnail?sz=w1000&amp;id=1N82-1etGo7HuwUm2xU1fR1C_Rj1M0AmT", "서명보기")</f>
        <v>서명보기</v>
      </c>
      <c r="I81" s="29"/>
      <c r="J81" s="20"/>
      <c r="K81" s="29" t="s">
        <v>994</v>
      </c>
      <c r="L81" s="20"/>
      <c r="M81" s="20"/>
      <c r="N81" s="20"/>
      <c r="O81" s="20"/>
      <c r="P81" s="20"/>
      <c r="Q81" s="20"/>
      <c r="R81" s="20"/>
      <c r="S81" s="20"/>
      <c r="T81" s="20"/>
      <c r="U81" s="20"/>
      <c r="V81" s="20"/>
      <c r="W81" s="20"/>
      <c r="X81" s="20"/>
      <c r="Y81" s="20"/>
      <c r="Z81" s="20"/>
    </row>
    <row r="82" ht="45.0" customHeight="1">
      <c r="A82" s="30">
        <v>46198.32699074074</v>
      </c>
      <c r="B82" s="29" t="s">
        <v>814</v>
      </c>
      <c r="C82" s="29" t="s">
        <v>815</v>
      </c>
      <c r="D82" s="31" t="s">
        <v>716</v>
      </c>
      <c r="E82" s="20"/>
      <c r="F82" s="34" t="str">
        <f>HYPERLINK("https://drive.google.com/file/d/1dqm6crRAvNq1z__Z5LRsL6ck7dj4gO4U/view?usp=drivesdk", "사진보기")</f>
        <v>사진보기</v>
      </c>
      <c r="G82" s="29" t="s">
        <v>817</v>
      </c>
      <c r="H82" s="34" t="str">
        <f>HYPERLINK("https://drive.google.com/thumbnail?sz=w1000&amp;id=1IWC4Y5hZ6RyBugk4DW0Vgzo_WxSZFDHj", "서명보기")</f>
        <v>서명보기</v>
      </c>
      <c r="I82" s="20"/>
      <c r="J82" s="20"/>
      <c r="K82" s="29" t="s">
        <v>997</v>
      </c>
      <c r="L82" s="20"/>
      <c r="M82" s="20"/>
      <c r="N82" s="20"/>
      <c r="O82" s="20"/>
      <c r="P82" s="20"/>
      <c r="Q82" s="20"/>
      <c r="R82" s="20"/>
      <c r="S82" s="20"/>
      <c r="T82" s="20"/>
      <c r="U82" s="20"/>
      <c r="V82" s="20"/>
      <c r="W82" s="20"/>
      <c r="X82" s="20"/>
      <c r="Y82" s="20"/>
      <c r="Z82" s="20"/>
    </row>
    <row r="83">
      <c r="A83" s="20"/>
      <c r="B83" s="20"/>
      <c r="C83" s="20"/>
      <c r="D83" s="35"/>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35"/>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35"/>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35"/>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35"/>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35"/>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35"/>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35"/>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35"/>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35"/>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35"/>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35"/>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35"/>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35"/>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35"/>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35"/>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35"/>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35"/>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35"/>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35"/>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35"/>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35"/>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35"/>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35"/>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35"/>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35"/>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35"/>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35"/>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35"/>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35"/>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35"/>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35"/>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35"/>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35"/>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35"/>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35"/>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35"/>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35"/>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35"/>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35"/>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35"/>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35"/>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35"/>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35"/>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35"/>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35"/>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35"/>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35"/>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35"/>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35"/>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35"/>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35"/>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35"/>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35"/>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35"/>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35"/>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35"/>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35"/>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35"/>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35"/>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35"/>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35"/>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35"/>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35"/>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35"/>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35"/>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35"/>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35"/>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35"/>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35"/>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35"/>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35"/>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35"/>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35"/>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35"/>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35"/>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35"/>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35"/>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35"/>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35"/>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35"/>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35"/>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35"/>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35"/>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35"/>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35"/>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35"/>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35"/>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35"/>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35"/>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35"/>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35"/>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35"/>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35"/>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35"/>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35"/>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35"/>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35"/>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35"/>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35"/>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35"/>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35"/>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35"/>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35"/>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35"/>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35"/>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35"/>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35"/>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35"/>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35"/>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35"/>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35"/>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35"/>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35"/>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35"/>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35"/>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35"/>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35"/>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35"/>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35"/>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35"/>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35"/>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35"/>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35"/>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35"/>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35"/>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35"/>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35"/>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35"/>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35"/>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35"/>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35"/>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35"/>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35"/>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35"/>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35"/>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35"/>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35"/>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35"/>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35"/>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35"/>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35"/>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35"/>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35"/>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35"/>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35"/>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35"/>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35"/>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35"/>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35"/>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35"/>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35"/>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35"/>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35"/>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35"/>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35"/>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35"/>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35"/>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35"/>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35"/>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35"/>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35"/>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35"/>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35"/>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35"/>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35"/>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35"/>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35"/>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35"/>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35"/>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35"/>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35"/>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35"/>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35"/>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35"/>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35"/>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35"/>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35"/>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35"/>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35"/>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35"/>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35"/>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35"/>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35"/>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35"/>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35"/>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35"/>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35"/>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35"/>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35"/>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35"/>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35"/>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35"/>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35"/>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35"/>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35"/>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35"/>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35"/>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35"/>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35"/>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35"/>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35"/>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35"/>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35"/>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35"/>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35"/>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35"/>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35"/>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35"/>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35"/>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35"/>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35"/>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35"/>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35"/>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35"/>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35"/>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35"/>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35"/>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35"/>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35"/>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35"/>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35"/>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35"/>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35"/>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35"/>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35"/>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35"/>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35"/>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35"/>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35"/>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35"/>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35"/>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35"/>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35"/>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35"/>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35"/>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35"/>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35"/>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35"/>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35"/>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35"/>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35"/>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35"/>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35"/>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35"/>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35"/>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35"/>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35"/>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35"/>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35"/>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35"/>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35"/>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35"/>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35"/>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35"/>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35"/>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35"/>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35"/>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35"/>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35"/>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35"/>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35"/>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35"/>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35"/>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35"/>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35"/>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35"/>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35"/>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35"/>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35"/>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35"/>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35"/>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35"/>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35"/>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35"/>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35"/>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35"/>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35"/>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35"/>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35"/>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35"/>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35"/>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35"/>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35"/>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35"/>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35"/>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35"/>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35"/>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35"/>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35"/>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35"/>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35"/>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35"/>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35"/>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35"/>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35"/>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35"/>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35"/>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35"/>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35"/>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35"/>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35"/>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35"/>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35"/>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35"/>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35"/>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35"/>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35"/>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35"/>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35"/>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35"/>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35"/>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35"/>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35"/>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35"/>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35"/>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35"/>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35"/>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35"/>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35"/>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35"/>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35"/>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35"/>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35"/>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35"/>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35"/>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35"/>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35"/>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35"/>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35"/>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35"/>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35"/>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35"/>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35"/>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35"/>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35"/>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35"/>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35"/>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35"/>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35"/>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35"/>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35"/>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35"/>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35"/>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35"/>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35"/>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35"/>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35"/>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35"/>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35"/>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35"/>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35"/>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35"/>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35"/>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35"/>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35"/>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35"/>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35"/>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35"/>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35"/>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35"/>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35"/>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35"/>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35"/>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35"/>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35"/>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35"/>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35"/>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35"/>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35"/>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35"/>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35"/>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35"/>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35"/>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35"/>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35"/>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35"/>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35"/>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35"/>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35"/>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35"/>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35"/>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35"/>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35"/>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35"/>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35"/>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35"/>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35"/>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35"/>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35"/>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35"/>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35"/>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35"/>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35"/>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35"/>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35"/>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35"/>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35"/>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35"/>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35"/>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35"/>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35"/>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35"/>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35"/>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35"/>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35"/>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35"/>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35"/>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35"/>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35"/>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35"/>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35"/>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35"/>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35"/>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35"/>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35"/>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35"/>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35"/>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35"/>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35"/>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35"/>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35"/>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35"/>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35"/>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35"/>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35"/>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35"/>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35"/>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35"/>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35"/>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35"/>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35"/>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35"/>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35"/>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35"/>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35"/>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35"/>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35"/>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35"/>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35"/>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35"/>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35"/>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35"/>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35"/>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35"/>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35"/>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35"/>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35"/>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35"/>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35"/>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35"/>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35"/>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35"/>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35"/>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35"/>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35"/>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35"/>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35"/>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35"/>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35"/>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35"/>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35"/>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35"/>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35"/>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35"/>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35"/>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35"/>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35"/>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35"/>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35"/>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35"/>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35"/>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35"/>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35"/>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35"/>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35"/>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35"/>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35"/>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35"/>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35"/>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35"/>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35"/>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35"/>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35"/>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35"/>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35"/>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35"/>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35"/>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35"/>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35"/>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35"/>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35"/>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35"/>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35"/>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35"/>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35"/>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35"/>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35"/>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35"/>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35"/>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35"/>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35"/>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35"/>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35"/>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35"/>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35"/>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35"/>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35"/>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35"/>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35"/>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35"/>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35"/>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35"/>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35"/>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35"/>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35"/>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35"/>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35"/>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35"/>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35"/>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35"/>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35"/>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35"/>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35"/>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35"/>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35"/>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35"/>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35"/>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35"/>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35"/>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35"/>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35"/>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35"/>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35"/>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35"/>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35"/>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35"/>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35"/>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35"/>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35"/>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35"/>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35"/>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35"/>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35"/>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35"/>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35"/>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35"/>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35"/>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35"/>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35"/>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35"/>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35"/>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35"/>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35"/>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35"/>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35"/>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35"/>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35"/>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35"/>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35"/>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35"/>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35"/>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35"/>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35"/>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35"/>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35"/>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35"/>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35"/>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35"/>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35"/>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35"/>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35"/>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35"/>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35"/>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35"/>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35"/>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35"/>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35"/>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35"/>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35"/>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35"/>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35"/>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35"/>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35"/>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35"/>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35"/>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35"/>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35"/>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35"/>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35"/>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35"/>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35"/>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35"/>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35"/>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35"/>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35"/>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35"/>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35"/>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35"/>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35"/>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35"/>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35"/>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35"/>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35"/>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35"/>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35"/>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35"/>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35"/>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35"/>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35"/>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35"/>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35"/>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35"/>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35"/>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35"/>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35"/>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35"/>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35"/>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35"/>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35"/>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35"/>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35"/>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35"/>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35"/>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35"/>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35"/>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35"/>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35"/>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35"/>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35"/>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35"/>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35"/>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35"/>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35"/>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35"/>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35"/>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35"/>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35"/>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35"/>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35"/>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35"/>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35"/>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35"/>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35"/>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35"/>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35"/>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35"/>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35"/>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35"/>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35"/>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35"/>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35"/>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35"/>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35"/>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35"/>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35"/>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35"/>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35"/>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35"/>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35"/>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35"/>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35"/>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35"/>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35"/>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35"/>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35"/>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35"/>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35"/>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35"/>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35"/>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35"/>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35"/>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35"/>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35"/>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35"/>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35"/>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35"/>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35"/>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35"/>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35"/>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35"/>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35"/>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35"/>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35"/>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35"/>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35"/>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35"/>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35"/>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35"/>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35"/>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35"/>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35"/>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35"/>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35"/>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35"/>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35"/>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35"/>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35"/>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35"/>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35"/>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35"/>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35"/>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35"/>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35"/>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35"/>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35"/>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35"/>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35"/>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35"/>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35"/>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35"/>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35"/>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35"/>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35"/>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35"/>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35"/>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35"/>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35"/>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35"/>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35"/>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35"/>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35"/>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35"/>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35"/>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35"/>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35"/>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35"/>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35"/>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35"/>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35"/>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35"/>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35"/>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35"/>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35"/>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35"/>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35"/>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35"/>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35"/>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35"/>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35"/>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35"/>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35"/>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35"/>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35"/>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35"/>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35"/>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35"/>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35"/>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35"/>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35"/>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35"/>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35"/>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35"/>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35"/>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35"/>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35"/>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35"/>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35"/>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35"/>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35"/>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35"/>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35"/>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35"/>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35"/>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35"/>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35"/>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35"/>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35"/>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35"/>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35"/>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35"/>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35"/>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35"/>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35"/>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35"/>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35"/>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35"/>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35"/>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35"/>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35"/>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35"/>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35"/>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35"/>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35"/>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35"/>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35"/>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35"/>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35"/>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35"/>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35"/>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35"/>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35"/>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35"/>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35"/>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35"/>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35"/>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35"/>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35"/>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35"/>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35"/>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35"/>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35"/>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35"/>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35"/>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35"/>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35"/>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35"/>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35"/>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35"/>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35"/>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35"/>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35"/>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35"/>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35"/>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35"/>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35"/>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35"/>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35"/>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35"/>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35"/>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35"/>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35"/>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35"/>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35"/>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35"/>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35"/>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35"/>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35"/>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35"/>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35"/>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35"/>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35"/>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35"/>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35"/>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35"/>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35"/>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35"/>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35"/>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35"/>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35"/>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35"/>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35"/>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35"/>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35"/>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35"/>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35"/>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35"/>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35"/>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35"/>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35"/>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35"/>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35"/>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35"/>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35"/>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35"/>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35"/>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35"/>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35"/>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35"/>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35"/>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35"/>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35"/>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35"/>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35"/>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35"/>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35"/>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35"/>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35"/>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35"/>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35"/>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35"/>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35"/>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35"/>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35"/>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35"/>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35"/>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35"/>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35"/>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35"/>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35"/>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35"/>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35"/>
      <c r="E964" s="20"/>
      <c r="F964" s="20"/>
      <c r="G964" s="20"/>
      <c r="H964" s="20"/>
      <c r="I964" s="20"/>
      <c r="J964" s="20"/>
      <c r="K964" s="20"/>
      <c r="L964" s="20"/>
      <c r="M964" s="20"/>
      <c r="N964" s="20"/>
      <c r="O964" s="20"/>
      <c r="P964" s="20"/>
      <c r="Q964" s="20"/>
      <c r="R964" s="20"/>
      <c r="S964" s="20"/>
      <c r="T964" s="20"/>
      <c r="U964" s="20"/>
      <c r="V964" s="20"/>
      <c r="W964" s="20"/>
      <c r="X964" s="20"/>
      <c r="Y964" s="20"/>
      <c r="Z964" s="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12.63"/>
  </cols>
  <sheetData>
    <row r="1">
      <c r="A1" s="37" t="s">
        <v>1115</v>
      </c>
      <c r="B1" s="37" t="s">
        <v>725</v>
      </c>
      <c r="C1" s="37" t="s">
        <v>1116</v>
      </c>
      <c r="D1" s="37" t="s">
        <v>1116</v>
      </c>
      <c r="E1" s="37" t="s">
        <v>1116</v>
      </c>
      <c r="F1" s="37" t="s">
        <v>1116</v>
      </c>
      <c r="G1" s="37" t="s">
        <v>1116</v>
      </c>
      <c r="H1" s="37" t="s">
        <v>1116</v>
      </c>
      <c r="I1" s="37" t="s">
        <v>1116</v>
      </c>
      <c r="J1" s="37" t="s">
        <v>1116</v>
      </c>
      <c r="K1" s="37" t="s">
        <v>1116</v>
      </c>
      <c r="L1" s="37" t="s">
        <v>1118</v>
      </c>
      <c r="M1" s="37" t="s">
        <v>1118</v>
      </c>
      <c r="N1" s="37" t="s">
        <v>1118</v>
      </c>
      <c r="O1" s="37" t="s">
        <v>1118</v>
      </c>
      <c r="P1" s="37" t="s">
        <v>1118</v>
      </c>
      <c r="Q1" s="37" t="s">
        <v>1118</v>
      </c>
      <c r="R1" s="37" t="s">
        <v>1118</v>
      </c>
      <c r="S1" s="37" t="s">
        <v>1118</v>
      </c>
      <c r="T1" s="37" t="s">
        <v>1118</v>
      </c>
      <c r="U1" s="38"/>
    </row>
    <row r="2">
      <c r="A2" s="37" t="s">
        <v>1120</v>
      </c>
      <c r="B2" s="37" t="s">
        <v>725</v>
      </c>
      <c r="C2" s="37" t="s">
        <v>814</v>
      </c>
      <c r="D2" s="37" t="s">
        <v>1121</v>
      </c>
      <c r="E2" s="37" t="s">
        <v>1122</v>
      </c>
      <c r="F2" s="37" t="s">
        <v>1123</v>
      </c>
      <c r="G2" s="37" t="s">
        <v>1125</v>
      </c>
      <c r="H2" s="37" t="s">
        <v>1126</v>
      </c>
      <c r="I2" s="37" t="s">
        <v>1127</v>
      </c>
      <c r="J2" s="37" t="s">
        <v>802</v>
      </c>
      <c r="K2" s="37" t="s">
        <v>1128</v>
      </c>
      <c r="L2" s="37" t="s">
        <v>744</v>
      </c>
      <c r="M2" s="37" t="s">
        <v>734</v>
      </c>
      <c r="N2" s="37" t="s">
        <v>765</v>
      </c>
      <c r="O2" s="37" t="s">
        <v>714</v>
      </c>
      <c r="P2" s="37" t="s">
        <v>806</v>
      </c>
      <c r="Q2" s="37" t="s">
        <v>1130</v>
      </c>
      <c r="R2" s="37" t="s">
        <v>721</v>
      </c>
      <c r="S2" s="37" t="s">
        <v>1131</v>
      </c>
      <c r="T2" s="37" t="s">
        <v>724</v>
      </c>
      <c r="U2" s="38"/>
    </row>
    <row r="3">
      <c r="A3" s="39" t="s">
        <v>57</v>
      </c>
      <c r="B3" s="40"/>
      <c r="C3" s="41" t="s">
        <v>824</v>
      </c>
      <c r="D3" s="41" t="s">
        <v>1036</v>
      </c>
      <c r="E3" s="40"/>
      <c r="F3" s="41" t="s">
        <v>1010</v>
      </c>
      <c r="G3" s="41" t="s">
        <v>1029</v>
      </c>
      <c r="H3" s="41" t="s">
        <v>976</v>
      </c>
      <c r="I3" s="41" t="s">
        <v>1014</v>
      </c>
      <c r="J3" s="41" t="s">
        <v>828</v>
      </c>
      <c r="K3" s="40"/>
      <c r="L3" s="41" t="s">
        <v>745</v>
      </c>
      <c r="M3" s="41" t="s">
        <v>715</v>
      </c>
      <c r="N3" s="41" t="s">
        <v>766</v>
      </c>
      <c r="O3" s="41" t="s">
        <v>1134</v>
      </c>
      <c r="P3" s="41" t="s">
        <v>807</v>
      </c>
      <c r="Q3" s="41" t="s">
        <v>1135</v>
      </c>
      <c r="R3" s="41" t="s">
        <v>1136</v>
      </c>
      <c r="S3" s="41" t="s">
        <v>1137</v>
      </c>
      <c r="T3" s="41" t="s">
        <v>1138</v>
      </c>
      <c r="U3" s="38"/>
    </row>
    <row r="4">
      <c r="A4" s="42"/>
      <c r="B4" s="40"/>
      <c r="C4" s="41" t="s">
        <v>815</v>
      </c>
      <c r="D4" s="41" t="s">
        <v>1012</v>
      </c>
      <c r="E4" s="40"/>
      <c r="F4" s="41" t="s">
        <v>1011</v>
      </c>
      <c r="G4" s="41" t="s">
        <v>1019</v>
      </c>
      <c r="H4" s="41" t="s">
        <v>889</v>
      </c>
      <c r="I4" s="41" t="s">
        <v>1026</v>
      </c>
      <c r="J4" s="41" t="s">
        <v>803</v>
      </c>
      <c r="K4" s="40"/>
      <c r="L4" s="40"/>
      <c r="M4" s="41" t="s">
        <v>1140</v>
      </c>
      <c r="N4" s="41" t="s">
        <v>1141</v>
      </c>
      <c r="O4" s="41" t="s">
        <v>1142</v>
      </c>
      <c r="P4" s="41" t="s">
        <v>1143</v>
      </c>
      <c r="Q4" s="41" t="s">
        <v>1144</v>
      </c>
      <c r="R4" s="41" t="s">
        <v>1145</v>
      </c>
      <c r="S4" s="41" t="s">
        <v>1146</v>
      </c>
      <c r="T4" s="41" t="s">
        <v>1147</v>
      </c>
      <c r="U4" s="38"/>
    </row>
    <row r="5">
      <c r="A5" s="42"/>
      <c r="B5" s="40"/>
      <c r="C5" s="41" t="s">
        <v>1034</v>
      </c>
      <c r="D5" s="41" t="s">
        <v>1017</v>
      </c>
      <c r="E5" s="40"/>
      <c r="F5" s="40"/>
      <c r="G5" s="41" t="s">
        <v>1028</v>
      </c>
      <c r="H5" s="41" t="s">
        <v>1027</v>
      </c>
      <c r="I5" s="41" t="s">
        <v>1031</v>
      </c>
      <c r="J5" s="41" t="s">
        <v>831</v>
      </c>
      <c r="K5" s="40"/>
      <c r="L5" s="40"/>
      <c r="M5" s="41" t="s">
        <v>784</v>
      </c>
      <c r="N5" s="40"/>
      <c r="O5" s="41" t="s">
        <v>741</v>
      </c>
      <c r="P5" s="41" t="s">
        <v>1149</v>
      </c>
      <c r="Q5" s="41" t="s">
        <v>1151</v>
      </c>
      <c r="R5" s="41" t="s">
        <v>1152</v>
      </c>
      <c r="S5" s="40"/>
      <c r="T5" s="41" t="s">
        <v>1153</v>
      </c>
      <c r="U5" s="38"/>
    </row>
    <row r="6">
      <c r="A6" s="42"/>
      <c r="B6" s="40"/>
      <c r="C6" s="41" t="s">
        <v>1154</v>
      </c>
      <c r="D6" s="41" t="s">
        <v>1013</v>
      </c>
      <c r="E6" s="40"/>
      <c r="F6" s="43"/>
      <c r="G6" s="41" t="s">
        <v>1035</v>
      </c>
      <c r="H6" s="43"/>
      <c r="I6" s="41" t="s">
        <v>1018</v>
      </c>
      <c r="J6" s="41" t="s">
        <v>823</v>
      </c>
      <c r="K6" s="40"/>
      <c r="L6" s="40"/>
      <c r="M6" s="41" t="s">
        <v>1155</v>
      </c>
      <c r="N6" s="40"/>
      <c r="O6" s="41" t="s">
        <v>1052</v>
      </c>
      <c r="P6" s="41" t="s">
        <v>1157</v>
      </c>
      <c r="Q6" s="41" t="s">
        <v>1158</v>
      </c>
      <c r="R6" s="41" t="s">
        <v>1159</v>
      </c>
      <c r="S6" s="40"/>
      <c r="T6" s="41" t="s">
        <v>1160</v>
      </c>
      <c r="U6" s="38"/>
    </row>
    <row r="7">
      <c r="A7" s="42"/>
      <c r="B7" s="44"/>
      <c r="C7" s="43"/>
      <c r="D7" s="40"/>
      <c r="E7" s="43"/>
      <c r="F7" s="43"/>
      <c r="G7" s="41" t="s">
        <v>1022</v>
      </c>
      <c r="H7" s="43"/>
      <c r="I7" s="43"/>
      <c r="J7" s="41" t="s">
        <v>833</v>
      </c>
      <c r="K7" s="40"/>
      <c r="L7" s="40"/>
      <c r="M7" s="41" t="s">
        <v>1162</v>
      </c>
      <c r="N7" s="40"/>
      <c r="O7" s="41" t="s">
        <v>1163</v>
      </c>
      <c r="P7" s="41" t="s">
        <v>1164</v>
      </c>
      <c r="Q7" s="41" t="s">
        <v>1165</v>
      </c>
      <c r="R7" s="41" t="s">
        <v>1166</v>
      </c>
      <c r="S7" s="40"/>
      <c r="T7" s="41" t="s">
        <v>1167</v>
      </c>
      <c r="U7" s="38"/>
    </row>
    <row r="8">
      <c r="A8" s="42"/>
      <c r="B8" s="40"/>
      <c r="C8" s="43"/>
      <c r="D8" s="40"/>
      <c r="E8" s="43"/>
      <c r="F8" s="43"/>
      <c r="G8" s="41" t="s">
        <v>1024</v>
      </c>
      <c r="H8" s="43"/>
      <c r="I8" s="43"/>
      <c r="J8" s="41" t="s">
        <v>813</v>
      </c>
      <c r="K8" s="40"/>
      <c r="L8" s="40"/>
      <c r="M8" s="41" t="s">
        <v>1169</v>
      </c>
      <c r="N8" s="40"/>
      <c r="O8" s="41" t="s">
        <v>1171</v>
      </c>
      <c r="P8" s="41" t="s">
        <v>1172</v>
      </c>
      <c r="Q8" s="41" t="s">
        <v>1173</v>
      </c>
      <c r="R8" s="41" t="s">
        <v>1174</v>
      </c>
      <c r="S8" s="40"/>
      <c r="T8" s="41" t="s">
        <v>1175</v>
      </c>
      <c r="U8" s="38"/>
    </row>
    <row r="9">
      <c r="A9" s="42"/>
      <c r="B9" s="40"/>
      <c r="C9" s="43"/>
      <c r="D9" s="43"/>
      <c r="E9" s="43"/>
      <c r="F9" s="43"/>
      <c r="G9" s="40"/>
      <c r="H9" s="43"/>
      <c r="I9" s="43"/>
      <c r="J9" s="41" t="s">
        <v>820</v>
      </c>
      <c r="K9" s="40"/>
      <c r="L9" s="43"/>
      <c r="M9" s="41" t="s">
        <v>1178</v>
      </c>
      <c r="N9" s="40"/>
      <c r="O9" s="41" t="s">
        <v>1179</v>
      </c>
      <c r="P9" s="40"/>
      <c r="Q9" s="40"/>
      <c r="R9" s="41" t="s">
        <v>1180</v>
      </c>
      <c r="S9" s="40"/>
      <c r="T9" s="41" t="s">
        <v>1182</v>
      </c>
      <c r="U9" s="38"/>
    </row>
    <row r="10">
      <c r="A10" s="42"/>
      <c r="B10" s="40"/>
      <c r="C10" s="43"/>
      <c r="D10" s="43"/>
      <c r="E10" s="43"/>
      <c r="F10" s="43"/>
      <c r="G10" s="40"/>
      <c r="H10" s="43"/>
      <c r="I10" s="43"/>
      <c r="J10" s="41" t="s">
        <v>836</v>
      </c>
      <c r="K10" s="40"/>
      <c r="L10" s="43"/>
      <c r="M10" s="41" t="s">
        <v>735</v>
      </c>
      <c r="N10" s="40"/>
      <c r="O10" s="41" t="s">
        <v>1184</v>
      </c>
      <c r="P10" s="40"/>
      <c r="Q10" s="40"/>
      <c r="R10" s="41" t="s">
        <v>1185</v>
      </c>
      <c r="S10" s="40"/>
      <c r="T10" s="41" t="s">
        <v>1187</v>
      </c>
      <c r="U10" s="38"/>
    </row>
    <row r="11">
      <c r="A11" s="42"/>
      <c r="B11" s="40"/>
      <c r="C11" s="40"/>
      <c r="D11" s="40"/>
      <c r="E11" s="40"/>
      <c r="F11" s="40"/>
      <c r="G11" s="40"/>
      <c r="H11" s="40"/>
      <c r="I11" s="40"/>
      <c r="J11" s="41" t="s">
        <v>826</v>
      </c>
      <c r="K11" s="40"/>
      <c r="L11" s="40"/>
      <c r="M11" s="41" t="s">
        <v>1188</v>
      </c>
      <c r="N11" s="40"/>
      <c r="O11" s="41" t="s">
        <v>839</v>
      </c>
      <c r="P11" s="40"/>
      <c r="Q11" s="40"/>
      <c r="R11" s="41" t="s">
        <v>1190</v>
      </c>
      <c r="S11" s="40"/>
      <c r="T11" s="41" t="s">
        <v>1191</v>
      </c>
      <c r="U11" s="38"/>
    </row>
    <row r="12">
      <c r="A12" s="42"/>
      <c r="B12" s="43"/>
      <c r="C12" s="40"/>
      <c r="D12" s="40"/>
      <c r="E12" s="40"/>
      <c r="F12" s="40"/>
      <c r="G12" s="40"/>
      <c r="H12" s="40"/>
      <c r="I12" s="40"/>
      <c r="J12" s="41" t="s">
        <v>837</v>
      </c>
      <c r="K12" s="40"/>
      <c r="L12" s="43"/>
      <c r="M12" s="41" t="s">
        <v>1193</v>
      </c>
      <c r="N12" s="40"/>
      <c r="O12" s="40"/>
      <c r="P12" s="43"/>
      <c r="Q12" s="40"/>
      <c r="R12" s="41" t="s">
        <v>1194</v>
      </c>
      <c r="S12" s="40"/>
      <c r="T12" s="41" t="s">
        <v>1195</v>
      </c>
      <c r="U12" s="38"/>
    </row>
    <row r="13">
      <c r="A13" s="42"/>
      <c r="B13" s="43"/>
      <c r="C13" s="40"/>
      <c r="D13" s="40"/>
      <c r="E13" s="40"/>
      <c r="F13" s="40"/>
      <c r="G13" s="40"/>
      <c r="H13" s="40"/>
      <c r="I13" s="40"/>
      <c r="J13" s="41" t="s">
        <v>808</v>
      </c>
      <c r="K13" s="40"/>
      <c r="L13" s="40"/>
      <c r="M13" s="41" t="s">
        <v>772</v>
      </c>
      <c r="N13" s="40"/>
      <c r="O13" s="40"/>
      <c r="P13" s="43"/>
      <c r="Q13" s="40"/>
      <c r="R13" s="40"/>
      <c r="S13" s="40"/>
      <c r="T13" s="41" t="s">
        <v>1198</v>
      </c>
      <c r="U13" s="38"/>
    </row>
    <row r="14">
      <c r="A14" s="42"/>
      <c r="B14" s="43"/>
      <c r="C14" s="40"/>
      <c r="D14" s="40"/>
      <c r="E14" s="43"/>
      <c r="F14" s="43"/>
      <c r="G14" s="40"/>
      <c r="H14" s="40"/>
      <c r="I14" s="40"/>
      <c r="J14" s="41" t="s">
        <v>835</v>
      </c>
      <c r="K14" s="40"/>
      <c r="L14" s="43"/>
      <c r="M14" s="41" t="s">
        <v>1200</v>
      </c>
      <c r="N14" s="40"/>
      <c r="O14" s="40"/>
      <c r="P14" s="43"/>
      <c r="Q14" s="40"/>
      <c r="R14" s="40"/>
      <c r="S14" s="40"/>
      <c r="T14" s="41" t="s">
        <v>1201</v>
      </c>
      <c r="U14" s="38"/>
    </row>
    <row r="15">
      <c r="A15" s="42"/>
      <c r="B15" s="43"/>
      <c r="C15" s="40"/>
      <c r="D15" s="40"/>
      <c r="E15" s="43"/>
      <c r="F15" s="43"/>
      <c r="G15" s="43"/>
      <c r="H15" s="43"/>
      <c r="I15" s="40"/>
      <c r="J15" s="43"/>
      <c r="K15" s="40"/>
      <c r="L15" s="43"/>
      <c r="M15" s="41" t="s">
        <v>1203</v>
      </c>
      <c r="N15" s="40"/>
      <c r="O15" s="40"/>
      <c r="P15" s="43"/>
      <c r="Q15" s="40"/>
      <c r="R15" s="40"/>
      <c r="S15" s="40"/>
      <c r="T15" s="41" t="s">
        <v>1204</v>
      </c>
      <c r="U15" s="38"/>
    </row>
    <row r="16">
      <c r="A16" s="42"/>
      <c r="B16" s="40"/>
      <c r="C16" s="40"/>
      <c r="D16" s="40"/>
      <c r="E16" s="40"/>
      <c r="F16" s="40"/>
      <c r="G16" s="40"/>
      <c r="H16" s="40"/>
      <c r="I16" s="40"/>
      <c r="J16" s="40"/>
      <c r="K16" s="40"/>
      <c r="L16" s="40"/>
      <c r="M16" s="40"/>
      <c r="N16" s="40"/>
      <c r="O16" s="44"/>
      <c r="P16" s="40"/>
      <c r="Q16" s="40"/>
      <c r="R16" s="40"/>
      <c r="S16" s="40"/>
      <c r="T16" s="40"/>
    </row>
    <row r="17">
      <c r="A17" s="42"/>
      <c r="B17" s="40"/>
      <c r="C17" s="40"/>
      <c r="D17" s="40"/>
      <c r="E17" s="40"/>
      <c r="F17" s="40"/>
      <c r="G17" s="40"/>
      <c r="H17" s="40"/>
      <c r="I17" s="40"/>
      <c r="J17" s="40"/>
      <c r="K17" s="40"/>
      <c r="L17" s="40"/>
      <c r="M17" s="40"/>
      <c r="N17" s="40"/>
      <c r="O17" s="40"/>
      <c r="P17" s="40"/>
      <c r="Q17" s="40"/>
      <c r="R17" s="44"/>
      <c r="S17" s="40"/>
      <c r="T17" s="40"/>
    </row>
    <row r="18">
      <c r="A18" s="42"/>
      <c r="B18" s="40"/>
      <c r="C18" s="40"/>
      <c r="D18" s="40"/>
      <c r="E18" s="40"/>
      <c r="F18" s="40"/>
      <c r="G18" s="40"/>
      <c r="H18" s="40"/>
      <c r="I18" s="40"/>
      <c r="J18" s="40"/>
      <c r="K18" s="40"/>
      <c r="L18" s="40"/>
      <c r="M18" s="40"/>
      <c r="N18" s="40"/>
      <c r="O18" s="40"/>
      <c r="P18" s="40"/>
      <c r="Q18" s="40"/>
      <c r="R18" s="40"/>
      <c r="S18" s="40"/>
      <c r="T18" s="40"/>
    </row>
    <row r="19">
      <c r="A19" s="42"/>
      <c r="B19" s="40"/>
      <c r="C19" s="40"/>
      <c r="D19" s="40"/>
      <c r="E19" s="40"/>
      <c r="F19" s="40"/>
      <c r="G19" s="40"/>
      <c r="H19" s="40"/>
      <c r="I19" s="40"/>
      <c r="J19" s="40"/>
      <c r="K19" s="40"/>
      <c r="L19" s="40"/>
      <c r="M19" s="40"/>
      <c r="N19" s="40"/>
      <c r="O19" s="40"/>
      <c r="P19" s="40"/>
      <c r="Q19" s="40"/>
      <c r="R19" s="40"/>
      <c r="S19" s="40"/>
      <c r="T19" s="40"/>
    </row>
    <row r="20">
      <c r="A20" s="42"/>
      <c r="B20" s="44"/>
      <c r="C20" s="44"/>
      <c r="D20" s="44"/>
      <c r="E20" s="44"/>
      <c r="F20" s="44"/>
      <c r="G20" s="44"/>
      <c r="H20" s="44"/>
      <c r="I20" s="44"/>
      <c r="J20" s="44"/>
      <c r="K20" s="44"/>
      <c r="L20" s="44"/>
      <c r="M20" s="44"/>
      <c r="N20" s="44"/>
      <c r="O20" s="44"/>
      <c r="P20" s="44"/>
      <c r="Q20" s="44"/>
      <c r="R20" s="44"/>
      <c r="S20" s="44"/>
      <c r="T20" s="44"/>
    </row>
    <row r="21">
      <c r="A21" s="42"/>
      <c r="B21" s="43"/>
      <c r="C21" s="43"/>
      <c r="D21" s="43"/>
      <c r="E21" s="43"/>
      <c r="F21" s="43"/>
      <c r="G21" s="43"/>
      <c r="H21" s="43"/>
      <c r="I21" s="43"/>
      <c r="J21" s="43"/>
      <c r="K21" s="44"/>
      <c r="L21" s="44"/>
      <c r="M21" s="40"/>
      <c r="N21" s="44"/>
      <c r="O21" s="44"/>
      <c r="P21" s="43"/>
      <c r="Q21" s="43"/>
      <c r="R21" s="43"/>
      <c r="S21" s="43"/>
      <c r="T21" s="43"/>
    </row>
    <row r="22">
      <c r="A22" s="45"/>
      <c r="B22" s="40"/>
      <c r="C22" s="40"/>
      <c r="D22" s="40"/>
      <c r="E22" s="40"/>
      <c r="F22" s="40"/>
      <c r="G22" s="40"/>
      <c r="H22" s="40"/>
      <c r="I22" s="40"/>
      <c r="J22" s="40"/>
      <c r="K22" s="40"/>
      <c r="L22" s="40"/>
      <c r="M22" s="40"/>
      <c r="N22" s="40"/>
      <c r="O22" s="40"/>
      <c r="P22" s="40"/>
      <c r="Q22" s="40"/>
      <c r="R22" s="40"/>
      <c r="S22" s="40"/>
      <c r="T22" s="40"/>
    </row>
    <row r="23">
      <c r="A23" s="39" t="s">
        <v>706</v>
      </c>
      <c r="B23" s="41" t="s">
        <v>1217</v>
      </c>
      <c r="C23" s="41" t="s">
        <v>1217</v>
      </c>
      <c r="D23" s="41" t="s">
        <v>1217</v>
      </c>
      <c r="E23" s="41" t="s">
        <v>1217</v>
      </c>
      <c r="F23" s="41" t="s">
        <v>1217</v>
      </c>
      <c r="G23" s="41" t="s">
        <v>1217</v>
      </c>
      <c r="H23" s="41" t="s">
        <v>1217</v>
      </c>
      <c r="I23" s="41" t="s">
        <v>1217</v>
      </c>
      <c r="J23" s="41" t="s">
        <v>1217</v>
      </c>
      <c r="K23" s="41" t="s">
        <v>1217</v>
      </c>
      <c r="L23" s="41" t="s">
        <v>1217</v>
      </c>
      <c r="M23" s="41" t="s">
        <v>1217</v>
      </c>
      <c r="N23" s="41" t="s">
        <v>1217</v>
      </c>
      <c r="O23" s="41" t="s">
        <v>1217</v>
      </c>
      <c r="P23" s="41" t="s">
        <v>1217</v>
      </c>
      <c r="Q23" s="41" t="s">
        <v>1217</v>
      </c>
      <c r="R23" s="41" t="s">
        <v>1217</v>
      </c>
      <c r="S23" s="41" t="s">
        <v>1217</v>
      </c>
      <c r="T23" s="41" t="s">
        <v>1217</v>
      </c>
      <c r="U23" s="38"/>
    </row>
    <row r="24">
      <c r="A24" s="42"/>
      <c r="B24" s="41" t="s">
        <v>1220</v>
      </c>
      <c r="C24" s="41" t="s">
        <v>1220</v>
      </c>
      <c r="D24" s="41" t="s">
        <v>1220</v>
      </c>
      <c r="E24" s="41" t="s">
        <v>1220</v>
      </c>
      <c r="F24" s="41" t="s">
        <v>1220</v>
      </c>
      <c r="G24" s="41" t="s">
        <v>1220</v>
      </c>
      <c r="H24" s="41" t="s">
        <v>1220</v>
      </c>
      <c r="I24" s="41" t="s">
        <v>1220</v>
      </c>
      <c r="J24" s="41" t="s">
        <v>1220</v>
      </c>
      <c r="K24" s="41" t="s">
        <v>1220</v>
      </c>
      <c r="L24" s="41" t="s">
        <v>1220</v>
      </c>
      <c r="M24" s="41" t="s">
        <v>1220</v>
      </c>
      <c r="N24" s="41" t="s">
        <v>1220</v>
      </c>
      <c r="O24" s="41" t="s">
        <v>1220</v>
      </c>
      <c r="P24" s="41" t="s">
        <v>1220</v>
      </c>
      <c r="Q24" s="41" t="s">
        <v>1220</v>
      </c>
      <c r="R24" s="41" t="s">
        <v>1220</v>
      </c>
      <c r="S24" s="41" t="s">
        <v>1220</v>
      </c>
      <c r="T24" s="41" t="s">
        <v>1220</v>
      </c>
      <c r="U24" s="38"/>
    </row>
    <row r="25">
      <c r="A25" s="42"/>
      <c r="B25" s="41" t="s">
        <v>1222</v>
      </c>
      <c r="C25" s="41" t="s">
        <v>1222</v>
      </c>
      <c r="D25" s="41" t="s">
        <v>1222</v>
      </c>
      <c r="E25" s="41" t="s">
        <v>1222</v>
      </c>
      <c r="F25" s="41" t="s">
        <v>1222</v>
      </c>
      <c r="G25" s="41" t="s">
        <v>1222</v>
      </c>
      <c r="H25" s="41" t="s">
        <v>1222</v>
      </c>
      <c r="I25" s="41" t="s">
        <v>1222</v>
      </c>
      <c r="J25" s="41" t="s">
        <v>1222</v>
      </c>
      <c r="K25" s="41" t="s">
        <v>1222</v>
      </c>
      <c r="L25" s="41" t="s">
        <v>1222</v>
      </c>
      <c r="M25" s="41" t="s">
        <v>1222</v>
      </c>
      <c r="N25" s="41" t="s">
        <v>1222</v>
      </c>
      <c r="O25" s="41" t="s">
        <v>1222</v>
      </c>
      <c r="P25" s="41" t="s">
        <v>1222</v>
      </c>
      <c r="Q25" s="41" t="s">
        <v>1222</v>
      </c>
      <c r="R25" s="41" t="s">
        <v>1222</v>
      </c>
      <c r="S25" s="41" t="s">
        <v>1222</v>
      </c>
      <c r="T25" s="41" t="s">
        <v>1222</v>
      </c>
      <c r="U25" s="38"/>
    </row>
    <row r="26">
      <c r="A26" s="42"/>
      <c r="B26" s="43"/>
      <c r="C26" s="43"/>
      <c r="D26" s="43"/>
      <c r="E26" s="43"/>
      <c r="F26" s="43"/>
      <c r="G26" s="43"/>
      <c r="H26" s="43"/>
      <c r="I26" s="43"/>
      <c r="J26" s="43"/>
      <c r="K26" s="43"/>
      <c r="L26" s="43"/>
      <c r="M26" s="40"/>
      <c r="N26" s="43"/>
      <c r="O26" s="43"/>
      <c r="P26" s="43"/>
      <c r="Q26" s="43"/>
      <c r="R26" s="43"/>
      <c r="S26" s="43"/>
      <c r="T26" s="43"/>
    </row>
    <row r="27">
      <c r="A27" s="42"/>
      <c r="B27" s="43"/>
      <c r="C27" s="43"/>
      <c r="D27" s="43"/>
      <c r="E27" s="43"/>
      <c r="F27" s="43"/>
      <c r="G27" s="43"/>
      <c r="H27" s="43"/>
      <c r="I27" s="43"/>
      <c r="J27" s="43"/>
      <c r="K27" s="43"/>
      <c r="L27" s="43"/>
      <c r="M27" s="43"/>
      <c r="N27" s="43"/>
      <c r="O27" s="43"/>
      <c r="P27" s="43"/>
      <c r="Q27" s="43"/>
      <c r="R27" s="43"/>
      <c r="S27" s="43"/>
      <c r="T27" s="43"/>
    </row>
    <row r="28">
      <c r="A28" s="42"/>
      <c r="B28" s="43"/>
      <c r="C28" s="43"/>
      <c r="D28" s="43"/>
      <c r="E28" s="43"/>
      <c r="F28" s="43"/>
      <c r="G28" s="43"/>
      <c r="H28" s="43"/>
      <c r="I28" s="43"/>
      <c r="J28" s="43"/>
      <c r="K28" s="43"/>
      <c r="L28" s="43"/>
      <c r="M28" s="43"/>
      <c r="N28" s="43"/>
      <c r="O28" s="43"/>
      <c r="P28" s="43"/>
      <c r="Q28" s="43"/>
      <c r="R28" s="43"/>
      <c r="S28" s="43"/>
      <c r="T28" s="43"/>
    </row>
    <row r="29">
      <c r="A29" s="42"/>
      <c r="B29" s="43"/>
      <c r="C29" s="43"/>
      <c r="D29" s="43"/>
      <c r="E29" s="43"/>
      <c r="F29" s="43"/>
      <c r="G29" s="43"/>
      <c r="H29" s="43"/>
      <c r="I29" s="43"/>
      <c r="J29" s="43"/>
      <c r="K29" s="43"/>
      <c r="L29" s="43"/>
      <c r="M29" s="43"/>
      <c r="N29" s="43"/>
      <c r="O29" s="43"/>
      <c r="P29" s="43"/>
      <c r="Q29" s="43"/>
      <c r="R29" s="43"/>
      <c r="S29" s="43"/>
      <c r="T29" s="43"/>
    </row>
    <row r="30">
      <c r="A30" s="42"/>
      <c r="B30" s="43"/>
      <c r="C30" s="43"/>
      <c r="D30" s="43"/>
      <c r="E30" s="43"/>
      <c r="F30" s="43"/>
      <c r="G30" s="43"/>
      <c r="H30" s="43"/>
      <c r="I30" s="43"/>
      <c r="J30" s="43"/>
      <c r="K30" s="43"/>
      <c r="L30" s="43"/>
      <c r="M30" s="43"/>
      <c r="N30" s="43"/>
      <c r="O30" s="43"/>
      <c r="P30" s="43"/>
      <c r="Q30" s="43"/>
      <c r="R30" s="43"/>
      <c r="S30" s="43"/>
      <c r="T30" s="43"/>
    </row>
    <row r="31">
      <c r="A31" s="42"/>
      <c r="B31" s="43"/>
      <c r="C31" s="43"/>
      <c r="D31" s="43"/>
      <c r="E31" s="43"/>
      <c r="F31" s="43"/>
      <c r="G31" s="43"/>
      <c r="H31" s="43"/>
      <c r="I31" s="43"/>
      <c r="J31" s="43"/>
      <c r="K31" s="43"/>
      <c r="L31" s="43"/>
      <c r="M31" s="43"/>
      <c r="N31" s="43"/>
      <c r="O31" s="43"/>
      <c r="P31" s="43"/>
      <c r="Q31" s="43"/>
      <c r="R31" s="43"/>
      <c r="S31" s="43"/>
      <c r="T31" s="43"/>
    </row>
    <row r="32">
      <c r="A32" s="45"/>
      <c r="B32" s="43"/>
      <c r="C32" s="43"/>
      <c r="D32" s="43"/>
      <c r="E32" s="43"/>
      <c r="F32" s="43"/>
      <c r="G32" s="43"/>
      <c r="H32" s="43"/>
      <c r="I32" s="43"/>
      <c r="J32" s="43"/>
      <c r="K32" s="43"/>
      <c r="L32" s="43"/>
      <c r="M32" s="43"/>
      <c r="N32" s="43"/>
      <c r="O32" s="43"/>
      <c r="P32" s="43"/>
      <c r="Q32" s="43"/>
      <c r="R32" s="43"/>
      <c r="S32" s="43"/>
      <c r="T32" s="43"/>
    </row>
    <row r="33">
      <c r="A33" s="46" t="s">
        <v>1232</v>
      </c>
      <c r="B33" s="43"/>
      <c r="C33" s="43"/>
      <c r="D33" s="43"/>
      <c r="E33" s="43"/>
      <c r="F33" s="43"/>
      <c r="G33" s="43"/>
      <c r="H33" s="43"/>
      <c r="I33" s="43"/>
      <c r="J33" s="43"/>
      <c r="K33" s="43"/>
      <c r="L33" s="41"/>
      <c r="M33" s="41"/>
      <c r="N33" s="41"/>
      <c r="O33" s="40"/>
      <c r="P33" s="41"/>
      <c r="Q33" s="40"/>
      <c r="R33" s="40"/>
      <c r="S33" s="40"/>
      <c r="T33" s="40"/>
    </row>
    <row r="34">
      <c r="A34" s="46" t="s">
        <v>1235</v>
      </c>
      <c r="B34" s="43"/>
      <c r="C34" s="43"/>
      <c r="D34" s="43"/>
      <c r="E34" s="43"/>
      <c r="F34" s="43"/>
      <c r="G34" s="43"/>
      <c r="H34" s="43"/>
      <c r="I34" s="43"/>
      <c r="J34" s="43"/>
      <c r="K34" s="43"/>
      <c r="L34" s="47"/>
      <c r="M34" s="47"/>
      <c r="N34" s="47"/>
      <c r="O34" s="44"/>
      <c r="P34" s="47"/>
      <c r="Q34" s="44"/>
      <c r="R34" s="44"/>
      <c r="S34" s="44"/>
      <c r="T34" s="44"/>
    </row>
    <row r="35">
      <c r="A35" s="46" t="s">
        <v>1238</v>
      </c>
      <c r="B35" s="43"/>
      <c r="C35" s="43"/>
      <c r="D35" s="43"/>
      <c r="E35" s="43"/>
      <c r="F35" s="43"/>
      <c r="G35" s="43"/>
      <c r="H35" s="43"/>
      <c r="I35" s="43"/>
      <c r="J35" s="43"/>
      <c r="K35" s="43"/>
      <c r="L35" s="47"/>
      <c r="M35" s="47"/>
      <c r="N35" s="47"/>
      <c r="O35" s="44"/>
      <c r="P35" s="44"/>
      <c r="Q35" s="43"/>
      <c r="R35" s="43"/>
      <c r="S35" s="43"/>
      <c r="T35" s="43"/>
    </row>
    <row r="36">
      <c r="A36" s="48" t="s">
        <v>1240</v>
      </c>
      <c r="B36" s="43"/>
      <c r="C36" s="43"/>
      <c r="D36" s="43"/>
      <c r="E36" s="43"/>
      <c r="F36" s="43"/>
      <c r="G36" s="43"/>
      <c r="H36" s="43"/>
      <c r="I36" s="43"/>
      <c r="J36" s="43"/>
      <c r="K36" s="43"/>
      <c r="L36" s="41"/>
      <c r="M36" s="41"/>
      <c r="N36" s="40"/>
      <c r="O36" s="43"/>
      <c r="P36" s="41"/>
      <c r="Q36" s="40"/>
      <c r="R36" s="43"/>
      <c r="S36" s="41"/>
      <c r="T36" s="43"/>
    </row>
    <row r="37">
      <c r="A37" s="48" t="s">
        <v>1242</v>
      </c>
      <c r="B37" s="43"/>
      <c r="C37" s="43"/>
      <c r="D37" s="43"/>
      <c r="E37" s="43"/>
      <c r="F37" s="43"/>
      <c r="G37" s="43"/>
      <c r="H37" s="43"/>
      <c r="I37" s="43"/>
      <c r="J37" s="43"/>
      <c r="K37" s="43"/>
      <c r="L37" s="43"/>
      <c r="M37" s="47"/>
      <c r="N37" s="44"/>
      <c r="O37" s="43"/>
      <c r="P37" s="47"/>
      <c r="Q37" s="44"/>
      <c r="R37" s="43"/>
      <c r="S37" s="47"/>
      <c r="T37" s="43"/>
    </row>
    <row r="38">
      <c r="A38" s="48" t="s">
        <v>1244</v>
      </c>
      <c r="B38" s="43"/>
      <c r="C38" s="43"/>
      <c r="D38" s="43"/>
      <c r="E38" s="43"/>
      <c r="F38" s="43"/>
      <c r="G38" s="43"/>
      <c r="H38" s="43"/>
      <c r="I38" s="43"/>
      <c r="J38" s="43"/>
      <c r="K38" s="43"/>
      <c r="L38" s="43"/>
      <c r="M38" s="44"/>
      <c r="N38" s="43"/>
      <c r="O38" s="43"/>
      <c r="P38" s="43"/>
      <c r="Q38" s="43"/>
      <c r="R38" s="43"/>
      <c r="S38" s="47"/>
      <c r="T38" s="43"/>
    </row>
  </sheetData>
  <mergeCells count="2">
    <mergeCell ref="A3:A22"/>
    <mergeCell ref="A23:A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s>
  <sheetData>
    <row r="1">
      <c r="A1" s="1" t="s">
        <v>1264</v>
      </c>
      <c r="B1" s="1" t="s">
        <v>1265</v>
      </c>
      <c r="C1" s="1" t="s">
        <v>1266</v>
      </c>
      <c r="D1" s="1" t="s">
        <v>1267</v>
      </c>
      <c r="E1" s="1" t="s">
        <v>1268</v>
      </c>
      <c r="F1" s="1" t="s">
        <v>1269</v>
      </c>
      <c r="G1" s="1" t="s">
        <v>1270</v>
      </c>
      <c r="H1" s="1" t="s">
        <v>1271</v>
      </c>
      <c r="I1" s="3"/>
      <c r="J1" s="3"/>
      <c r="K1" s="3"/>
      <c r="L1" s="3"/>
      <c r="M1" s="3"/>
      <c r="N1" s="3"/>
      <c r="O1" s="3"/>
      <c r="P1" s="3"/>
    </row>
    <row r="2">
      <c r="A2" s="49">
        <v>46111.49505280092</v>
      </c>
      <c r="B2" s="5" t="s">
        <v>1273</v>
      </c>
      <c r="C2" s="5" t="s">
        <v>1274</v>
      </c>
      <c r="D2" s="50">
        <v>55.6</v>
      </c>
      <c r="E2" s="5" t="s">
        <v>1275</v>
      </c>
      <c r="F2" s="5" t="s">
        <v>1276</v>
      </c>
      <c r="G2" s="3"/>
      <c r="H2" s="3"/>
      <c r="I2" s="3"/>
      <c r="J2" s="3"/>
      <c r="K2" s="3"/>
      <c r="L2" s="3"/>
      <c r="M2" s="3"/>
      <c r="N2" s="3"/>
      <c r="O2" s="3"/>
      <c r="P2" s="3"/>
    </row>
    <row r="3">
      <c r="A3" s="49">
        <v>46111.703539317125</v>
      </c>
      <c r="B3" s="5" t="s">
        <v>1277</v>
      </c>
      <c r="C3" s="5" t="s">
        <v>1278</v>
      </c>
      <c r="D3" s="50">
        <v>47.2</v>
      </c>
      <c r="E3" s="5" t="s">
        <v>1279</v>
      </c>
      <c r="F3" s="5" t="s">
        <v>1280</v>
      </c>
      <c r="G3" s="3"/>
      <c r="H3" s="3"/>
      <c r="I3" s="3"/>
      <c r="J3" s="3"/>
      <c r="K3" s="3"/>
      <c r="L3" s="3"/>
      <c r="M3" s="3"/>
      <c r="N3" s="3"/>
      <c r="O3" s="3"/>
      <c r="P3" s="3"/>
    </row>
    <row r="4">
      <c r="A4" s="49">
        <v>46111.70834601852</v>
      </c>
      <c r="B4" s="5" t="s">
        <v>1273</v>
      </c>
      <c r="C4" s="5" t="s">
        <v>1282</v>
      </c>
      <c r="D4" s="50">
        <v>50.0</v>
      </c>
      <c r="E4" s="5" t="s">
        <v>1283</v>
      </c>
      <c r="F4" s="5" t="s">
        <v>1284</v>
      </c>
      <c r="G4" s="3"/>
      <c r="H4" s="3"/>
      <c r="I4" s="3"/>
      <c r="J4" s="3"/>
      <c r="K4" s="3"/>
      <c r="L4" s="3"/>
      <c r="M4" s="3"/>
      <c r="N4" s="3"/>
      <c r="O4" s="3"/>
      <c r="P4" s="3"/>
    </row>
    <row r="5">
      <c r="A5" s="49">
        <v>46111.71779011574</v>
      </c>
      <c r="B5" s="5" t="s">
        <v>1277</v>
      </c>
      <c r="C5" s="5" t="s">
        <v>1285</v>
      </c>
      <c r="D5" s="50">
        <v>61.1</v>
      </c>
      <c r="E5" s="5" t="s">
        <v>1275</v>
      </c>
      <c r="F5" s="5" t="s">
        <v>1286</v>
      </c>
      <c r="G5" s="3"/>
      <c r="H5" s="3"/>
      <c r="I5" s="3"/>
      <c r="J5" s="3"/>
      <c r="K5" s="3"/>
      <c r="L5" s="3"/>
      <c r="M5" s="3"/>
      <c r="N5" s="3"/>
      <c r="O5" s="3"/>
      <c r="P5" s="3"/>
    </row>
    <row r="6">
      <c r="A6" s="49">
        <v>46122.84848706018</v>
      </c>
      <c r="B6" s="5" t="s">
        <v>1277</v>
      </c>
      <c r="C6" s="5" t="s">
        <v>1287</v>
      </c>
      <c r="D6" s="50">
        <v>54.2</v>
      </c>
      <c r="E6" s="5" t="s">
        <v>1283</v>
      </c>
      <c r="F6" s="5" t="s">
        <v>1288</v>
      </c>
      <c r="G6" s="3"/>
      <c r="H6" s="3"/>
      <c r="I6" s="3"/>
      <c r="J6" s="3"/>
      <c r="K6" s="3"/>
      <c r="L6" s="3"/>
      <c r="M6" s="3"/>
      <c r="N6" s="3"/>
      <c r="O6" s="3"/>
      <c r="P6" s="3"/>
    </row>
    <row r="7">
      <c r="A7" s="49">
        <v>46122.89500863426</v>
      </c>
      <c r="B7" s="5" t="s">
        <v>1273</v>
      </c>
      <c r="C7" s="5" t="s">
        <v>1290</v>
      </c>
      <c r="D7" s="50">
        <v>4.2</v>
      </c>
      <c r="E7" s="5" t="s">
        <v>1279</v>
      </c>
      <c r="F7" s="5" t="s">
        <v>1291</v>
      </c>
      <c r="G7" s="3"/>
      <c r="H7" s="3"/>
      <c r="I7" s="3"/>
      <c r="J7" s="3"/>
      <c r="K7" s="3"/>
      <c r="L7" s="3"/>
      <c r="M7" s="3"/>
      <c r="N7" s="3"/>
      <c r="O7" s="3"/>
      <c r="P7" s="3"/>
    </row>
    <row r="8">
      <c r="A8" s="49">
        <v>46126.49490211805</v>
      </c>
      <c r="B8" s="5" t="s">
        <v>1273</v>
      </c>
      <c r="C8" s="5" t="s">
        <v>1292</v>
      </c>
      <c r="D8" s="50">
        <v>46.5</v>
      </c>
      <c r="E8" s="5" t="s">
        <v>1279</v>
      </c>
      <c r="F8" s="5" t="s">
        <v>1293</v>
      </c>
      <c r="G8" s="3"/>
      <c r="H8" s="3"/>
      <c r="I8" s="3"/>
      <c r="J8" s="3"/>
      <c r="K8" s="3"/>
      <c r="L8" s="3"/>
      <c r="M8" s="3"/>
      <c r="N8" s="3"/>
      <c r="O8" s="3"/>
      <c r="P8" s="3"/>
    </row>
    <row r="9">
      <c r="A9" s="49">
        <v>46126.50081491898</v>
      </c>
      <c r="B9" s="5" t="s">
        <v>1277</v>
      </c>
      <c r="C9" s="5" t="s">
        <v>1294</v>
      </c>
      <c r="D9" s="50">
        <v>47.9</v>
      </c>
      <c r="E9" s="5" t="s">
        <v>1279</v>
      </c>
      <c r="F9" s="5" t="s">
        <v>1295</v>
      </c>
      <c r="G9" s="3"/>
      <c r="H9" s="3"/>
      <c r="I9" s="3"/>
      <c r="J9" s="3"/>
      <c r="K9" s="3"/>
      <c r="L9" s="3"/>
      <c r="M9" s="3"/>
      <c r="N9" s="3"/>
      <c r="O9" s="3"/>
      <c r="P9" s="3"/>
    </row>
    <row r="10">
      <c r="A10" s="49">
        <v>46126.550237812495</v>
      </c>
      <c r="B10" s="5" t="s">
        <v>1273</v>
      </c>
      <c r="C10" s="5" t="s">
        <v>1296</v>
      </c>
      <c r="D10" s="50">
        <v>56.3</v>
      </c>
      <c r="E10" s="5" t="s">
        <v>1275</v>
      </c>
      <c r="F10" s="5" t="s">
        <v>1297</v>
      </c>
      <c r="G10" s="3"/>
      <c r="H10" s="3"/>
      <c r="I10" s="3"/>
      <c r="J10" s="3"/>
      <c r="K10" s="3"/>
      <c r="L10" s="3"/>
      <c r="M10" s="3"/>
      <c r="N10" s="3"/>
      <c r="O10" s="3"/>
      <c r="P10" s="3"/>
    </row>
    <row r="11">
      <c r="A11" s="49">
        <v>46126.557907291666</v>
      </c>
      <c r="B11" s="5" t="s">
        <v>1273</v>
      </c>
      <c r="C11" s="5" t="s">
        <v>1298</v>
      </c>
      <c r="D11" s="50">
        <v>43.8</v>
      </c>
      <c r="E11" s="5" t="s">
        <v>1279</v>
      </c>
      <c r="F11" s="5" t="s">
        <v>1299</v>
      </c>
      <c r="G11" s="3"/>
      <c r="H11" s="3"/>
      <c r="I11" s="3"/>
      <c r="J11" s="3"/>
      <c r="K11" s="3"/>
      <c r="L11" s="3"/>
      <c r="M11" s="3"/>
      <c r="N11" s="3"/>
      <c r="O11" s="3"/>
      <c r="P11" s="3"/>
    </row>
    <row r="12">
      <c r="A12" s="49">
        <v>46133.71129511574</v>
      </c>
      <c r="B12" s="5" t="s">
        <v>1273</v>
      </c>
      <c r="C12" s="5" t="s">
        <v>1301</v>
      </c>
      <c r="D12" s="50">
        <v>53.8</v>
      </c>
      <c r="E12" s="5" t="s">
        <v>1283</v>
      </c>
      <c r="F12" s="5" t="s">
        <v>1302</v>
      </c>
      <c r="G12" s="3"/>
      <c r="H12" s="3"/>
      <c r="I12" s="3"/>
      <c r="J12" s="3"/>
      <c r="K12" s="3"/>
      <c r="L12" s="3"/>
      <c r="M12" s="3"/>
      <c r="N12" s="3"/>
      <c r="O12" s="3"/>
      <c r="P12" s="3"/>
    </row>
    <row r="13">
      <c r="A13" s="49">
        <v>46148.01238166667</v>
      </c>
      <c r="B13" s="5" t="s">
        <v>1273</v>
      </c>
      <c r="C13" s="5" t="s">
        <v>1303</v>
      </c>
      <c r="D13" s="50">
        <v>43.1</v>
      </c>
      <c r="E13" s="5" t="s">
        <v>1279</v>
      </c>
      <c r="F13" s="5" t="s">
        <v>1304</v>
      </c>
      <c r="G13" s="3"/>
      <c r="H13" s="3"/>
      <c r="I13" s="3"/>
      <c r="J13" s="3"/>
      <c r="K13" s="3"/>
      <c r="L13" s="3"/>
      <c r="M13" s="3"/>
      <c r="N13" s="3"/>
      <c r="O13" s="3"/>
      <c r="P13" s="3"/>
    </row>
    <row r="14">
      <c r="A14" s="49">
        <v>46148.01357052084</v>
      </c>
      <c r="B14" s="5" t="s">
        <v>1273</v>
      </c>
      <c r="C14" s="5" t="s">
        <v>1305</v>
      </c>
      <c r="D14" s="50">
        <v>34.0</v>
      </c>
      <c r="E14" s="5" t="s">
        <v>1279</v>
      </c>
      <c r="F14" s="5" t="s">
        <v>1306</v>
      </c>
      <c r="G14" s="3"/>
      <c r="H14" s="3"/>
      <c r="I14" s="3"/>
      <c r="J14" s="3"/>
      <c r="K14" s="3"/>
      <c r="L14" s="3"/>
      <c r="M14" s="3"/>
      <c r="N14" s="3"/>
      <c r="O14" s="3"/>
      <c r="P14" s="3"/>
    </row>
    <row r="15">
      <c r="A15" s="3"/>
      <c r="B15" s="3"/>
      <c r="C15" s="3"/>
      <c r="D15" s="3"/>
      <c r="E15" s="3"/>
      <c r="F15" s="3"/>
      <c r="G15" s="3"/>
      <c r="H15" s="3"/>
      <c r="I15" s="3"/>
      <c r="J15" s="3"/>
      <c r="K15" s="3"/>
      <c r="L15" s="3"/>
      <c r="M15" s="3"/>
      <c r="N15" s="3"/>
      <c r="O15" s="3"/>
      <c r="P15" s="3"/>
    </row>
    <row r="16">
      <c r="A16" s="3"/>
      <c r="B16" s="3"/>
      <c r="C16" s="3"/>
      <c r="D16" s="3"/>
      <c r="E16" s="3"/>
      <c r="F16" s="3"/>
      <c r="G16" s="3"/>
      <c r="H16" s="3"/>
      <c r="I16" s="3"/>
      <c r="J16" s="3"/>
      <c r="K16" s="3"/>
      <c r="L16" s="3"/>
      <c r="M16" s="3"/>
      <c r="N16" s="3"/>
      <c r="O16" s="3"/>
      <c r="P16" s="3"/>
    </row>
    <row r="17">
      <c r="A17" s="3"/>
      <c r="B17" s="3"/>
      <c r="C17" s="3"/>
      <c r="D17" s="3"/>
      <c r="E17" s="3"/>
      <c r="F17" s="3"/>
      <c r="G17" s="3"/>
      <c r="H17" s="3"/>
      <c r="I17" s="3"/>
      <c r="J17" s="3"/>
      <c r="K17" s="3"/>
      <c r="L17" s="3"/>
      <c r="M17" s="3"/>
      <c r="N17" s="3"/>
      <c r="O17" s="3"/>
      <c r="P17" s="3"/>
    </row>
    <row r="18">
      <c r="A18" s="3"/>
      <c r="B18" s="3"/>
      <c r="C18" s="3"/>
      <c r="D18" s="3"/>
      <c r="E18" s="3"/>
      <c r="F18" s="3"/>
      <c r="G18" s="3"/>
      <c r="H18" s="3"/>
      <c r="I18" s="3"/>
      <c r="J18" s="3"/>
      <c r="K18" s="3"/>
      <c r="L18" s="3"/>
      <c r="M18" s="3"/>
      <c r="N18" s="3"/>
      <c r="O18" s="3"/>
      <c r="P18" s="3"/>
    </row>
    <row r="19">
      <c r="A19" s="3"/>
      <c r="B19" s="3"/>
      <c r="C19" s="3"/>
      <c r="D19" s="3"/>
      <c r="E19" s="3"/>
      <c r="F19" s="3"/>
      <c r="G19" s="3"/>
      <c r="H19" s="3"/>
      <c r="I19" s="3"/>
      <c r="J19" s="3"/>
      <c r="K19" s="3"/>
      <c r="L19" s="3"/>
      <c r="M19" s="3"/>
      <c r="N19" s="3"/>
      <c r="O19" s="3"/>
      <c r="P19" s="3"/>
    </row>
    <row r="20">
      <c r="A20" s="3"/>
      <c r="B20" s="3"/>
      <c r="C20" s="3"/>
      <c r="D20" s="3"/>
      <c r="E20" s="3"/>
      <c r="F20" s="3"/>
      <c r="G20" s="3"/>
      <c r="H20" s="3"/>
      <c r="I20" s="3"/>
      <c r="J20" s="3"/>
      <c r="K20" s="3"/>
      <c r="L20" s="3"/>
      <c r="M20" s="3"/>
      <c r="N20" s="3"/>
      <c r="O20" s="3"/>
      <c r="P20" s="3"/>
    </row>
    <row r="21">
      <c r="A21" s="3"/>
      <c r="B21" s="3"/>
      <c r="C21" s="3"/>
      <c r="D21" s="3"/>
      <c r="E21" s="3"/>
      <c r="F21" s="3"/>
      <c r="G21" s="3"/>
      <c r="H21" s="3"/>
      <c r="I21" s="3"/>
      <c r="J21" s="3"/>
      <c r="K21" s="3"/>
      <c r="L21" s="3"/>
      <c r="M21" s="3"/>
      <c r="N21" s="3"/>
      <c r="O21" s="3"/>
      <c r="P21" s="3"/>
    </row>
    <row r="22">
      <c r="A22" s="3"/>
      <c r="B22" s="3"/>
      <c r="C22" s="3"/>
      <c r="D22" s="3"/>
      <c r="E22" s="3"/>
      <c r="F22" s="3"/>
      <c r="G22" s="3"/>
      <c r="H22" s="3"/>
      <c r="I22" s="3"/>
      <c r="J22" s="3"/>
      <c r="K22" s="3"/>
      <c r="L22" s="3"/>
      <c r="M22" s="3"/>
      <c r="N22" s="3"/>
      <c r="O22" s="3"/>
      <c r="P22" s="3"/>
    </row>
    <row r="23">
      <c r="A23" s="3"/>
      <c r="B23" s="3"/>
      <c r="C23" s="3"/>
      <c r="D23" s="3"/>
      <c r="E23" s="3"/>
      <c r="F23" s="3"/>
      <c r="G23" s="3"/>
      <c r="H23" s="3"/>
      <c r="I23" s="3"/>
      <c r="J23" s="3"/>
      <c r="K23" s="3"/>
      <c r="L23" s="3"/>
      <c r="M23" s="3"/>
      <c r="N23" s="3"/>
      <c r="O23" s="3"/>
      <c r="P23" s="3"/>
    </row>
    <row r="24">
      <c r="A24" s="3"/>
      <c r="B24" s="3"/>
      <c r="C24" s="3"/>
      <c r="D24" s="3"/>
      <c r="E24" s="3"/>
      <c r="F24" s="3"/>
      <c r="G24" s="3"/>
      <c r="H24" s="3"/>
      <c r="I24" s="3"/>
      <c r="J24" s="3"/>
      <c r="K24" s="3"/>
      <c r="L24" s="3"/>
      <c r="M24" s="3"/>
      <c r="N24" s="3"/>
      <c r="O24" s="3"/>
      <c r="P24" s="3"/>
    </row>
    <row r="25">
      <c r="A25" s="3"/>
      <c r="B25" s="3"/>
      <c r="C25" s="3"/>
      <c r="D25" s="3"/>
      <c r="E25" s="3"/>
      <c r="F25" s="3"/>
      <c r="G25" s="3"/>
      <c r="H25" s="3"/>
      <c r="I25" s="3"/>
      <c r="J25" s="3"/>
      <c r="K25" s="3"/>
      <c r="L25" s="3"/>
      <c r="M25" s="3"/>
      <c r="N25" s="3"/>
      <c r="O25" s="3"/>
      <c r="P25" s="3"/>
    </row>
    <row r="26">
      <c r="A26" s="3"/>
      <c r="B26" s="3"/>
      <c r="C26" s="3"/>
      <c r="D26" s="3"/>
      <c r="E26" s="3"/>
      <c r="F26" s="3"/>
      <c r="G26" s="3"/>
      <c r="H26" s="3"/>
      <c r="I26" s="3"/>
      <c r="J26" s="3"/>
      <c r="K26" s="3"/>
      <c r="L26" s="3"/>
      <c r="M26" s="3"/>
      <c r="N26" s="3"/>
      <c r="O26" s="3"/>
      <c r="P26" s="3"/>
    </row>
    <row r="27">
      <c r="A27" s="3"/>
      <c r="B27" s="3"/>
      <c r="C27" s="3"/>
      <c r="D27" s="3"/>
      <c r="E27" s="3"/>
      <c r="F27" s="3"/>
      <c r="G27" s="3"/>
      <c r="H27" s="3"/>
      <c r="I27" s="3"/>
      <c r="J27" s="3"/>
      <c r="K27" s="3"/>
      <c r="L27" s="3"/>
      <c r="M27" s="3"/>
      <c r="N27" s="3"/>
      <c r="O27" s="3"/>
      <c r="P27" s="3"/>
    </row>
    <row r="28">
      <c r="A28" s="3"/>
      <c r="B28" s="3"/>
      <c r="C28" s="3"/>
      <c r="D28" s="3"/>
      <c r="E28" s="3"/>
      <c r="F28" s="3"/>
      <c r="G28" s="3"/>
      <c r="H28" s="3"/>
      <c r="I28" s="3"/>
      <c r="J28" s="3"/>
      <c r="K28" s="3"/>
      <c r="L28" s="3"/>
      <c r="M28" s="3"/>
      <c r="N28" s="3"/>
      <c r="O28" s="3"/>
      <c r="P28" s="3"/>
    </row>
    <row r="29">
      <c r="A29" s="3"/>
      <c r="B29" s="3"/>
      <c r="C29" s="3"/>
      <c r="D29" s="3"/>
      <c r="E29" s="3"/>
      <c r="F29" s="3"/>
      <c r="G29" s="3"/>
      <c r="H29" s="3"/>
      <c r="I29" s="3"/>
      <c r="J29" s="3"/>
      <c r="K29" s="3"/>
      <c r="L29" s="3"/>
      <c r="M29" s="3"/>
      <c r="N29" s="3"/>
      <c r="O29" s="3"/>
      <c r="P29" s="3"/>
    </row>
    <row r="30">
      <c r="A30" s="3"/>
      <c r="B30" s="3"/>
      <c r="C30" s="3"/>
      <c r="D30" s="3"/>
      <c r="E30" s="3"/>
      <c r="F30" s="3"/>
      <c r="G30" s="3"/>
      <c r="H30" s="3"/>
      <c r="I30" s="3"/>
      <c r="J30" s="3"/>
      <c r="K30" s="3"/>
      <c r="L30" s="3"/>
      <c r="M30" s="3"/>
      <c r="N30" s="3"/>
      <c r="O30" s="3"/>
      <c r="P30" s="3"/>
    </row>
    <row r="31">
      <c r="A31" s="3"/>
      <c r="B31" s="3"/>
      <c r="C31" s="3"/>
      <c r="D31" s="3"/>
      <c r="E31" s="3"/>
      <c r="F31" s="3"/>
      <c r="G31" s="3"/>
      <c r="H31" s="3"/>
      <c r="I31" s="3"/>
      <c r="J31" s="3"/>
      <c r="K31" s="3"/>
      <c r="L31" s="3"/>
      <c r="M31" s="3"/>
      <c r="N31" s="3"/>
      <c r="O31" s="3"/>
      <c r="P31" s="3"/>
    </row>
    <row r="32">
      <c r="A32" s="3"/>
      <c r="B32" s="3"/>
      <c r="C32" s="3"/>
      <c r="D32" s="3"/>
      <c r="E32" s="3"/>
      <c r="F32" s="3"/>
      <c r="G32" s="3"/>
      <c r="H32" s="3"/>
      <c r="I32" s="3"/>
      <c r="J32" s="3"/>
      <c r="K32" s="3"/>
      <c r="L32" s="3"/>
      <c r="M32" s="3"/>
      <c r="N32" s="3"/>
      <c r="O32" s="3"/>
      <c r="P32" s="3"/>
    </row>
    <row r="33">
      <c r="A33" s="3"/>
      <c r="B33" s="3"/>
      <c r="C33" s="3"/>
      <c r="D33" s="3"/>
      <c r="E33" s="3"/>
      <c r="F33" s="3"/>
      <c r="G33" s="3"/>
      <c r="H33" s="3"/>
      <c r="I33" s="3"/>
      <c r="J33" s="3"/>
      <c r="K33" s="3"/>
      <c r="L33" s="3"/>
      <c r="M33" s="3"/>
      <c r="N33" s="3"/>
      <c r="O33" s="3"/>
      <c r="P33" s="3"/>
    </row>
    <row r="34">
      <c r="A34" s="3"/>
      <c r="B34" s="3"/>
      <c r="C34" s="3"/>
      <c r="D34" s="3"/>
      <c r="E34" s="3"/>
      <c r="F34" s="3"/>
      <c r="G34" s="3"/>
      <c r="H34" s="3"/>
      <c r="I34" s="3"/>
      <c r="J34" s="3"/>
      <c r="K34" s="3"/>
      <c r="L34" s="3"/>
      <c r="M34" s="3"/>
      <c r="N34" s="3"/>
      <c r="O34" s="3"/>
      <c r="P34" s="3"/>
    </row>
    <row r="35">
      <c r="A35" s="3"/>
      <c r="B35" s="3"/>
      <c r="C35" s="3"/>
      <c r="D35" s="3"/>
      <c r="E35" s="3"/>
      <c r="F35" s="3"/>
      <c r="G35" s="3"/>
      <c r="H35" s="3"/>
      <c r="I35" s="3"/>
      <c r="J35" s="3"/>
      <c r="K35" s="3"/>
      <c r="L35" s="3"/>
      <c r="M35" s="3"/>
      <c r="N35" s="3"/>
      <c r="O35" s="3"/>
      <c r="P35" s="3"/>
    </row>
    <row r="36">
      <c r="A36" s="3"/>
      <c r="B36" s="3"/>
      <c r="C36" s="3"/>
      <c r="D36" s="3"/>
      <c r="E36" s="3"/>
      <c r="F36" s="3"/>
      <c r="G36" s="3"/>
      <c r="H36" s="3"/>
      <c r="I36" s="3"/>
      <c r="J36" s="3"/>
      <c r="K36" s="3"/>
      <c r="L36" s="3"/>
      <c r="M36" s="3"/>
      <c r="N36" s="3"/>
      <c r="O36" s="3"/>
      <c r="P36" s="3"/>
    </row>
    <row r="37">
      <c r="A37" s="3"/>
      <c r="B37" s="3"/>
      <c r="C37" s="3"/>
      <c r="D37" s="3"/>
      <c r="E37" s="3"/>
      <c r="F37" s="3"/>
      <c r="G37" s="3"/>
      <c r="H37" s="3"/>
      <c r="I37" s="3"/>
      <c r="J37" s="3"/>
      <c r="K37" s="3"/>
      <c r="L37" s="3"/>
      <c r="M37" s="3"/>
      <c r="N37" s="3"/>
      <c r="O37" s="3"/>
      <c r="P37" s="3"/>
    </row>
    <row r="38">
      <c r="A38" s="3"/>
      <c r="B38" s="3"/>
      <c r="C38" s="3"/>
      <c r="D38" s="3"/>
      <c r="E38" s="3"/>
      <c r="F38" s="3"/>
      <c r="G38" s="3"/>
      <c r="H38" s="3"/>
      <c r="I38" s="3"/>
      <c r="J38" s="3"/>
      <c r="K38" s="3"/>
      <c r="L38" s="3"/>
      <c r="M38" s="3"/>
      <c r="N38" s="3"/>
      <c r="O38" s="3"/>
      <c r="P38" s="3"/>
    </row>
    <row r="39">
      <c r="A39" s="3"/>
      <c r="B39" s="3"/>
      <c r="C39" s="3"/>
      <c r="D39" s="3"/>
      <c r="E39" s="3"/>
      <c r="F39" s="3"/>
      <c r="G39" s="3"/>
      <c r="H39" s="3"/>
      <c r="I39" s="3"/>
      <c r="J39" s="3"/>
      <c r="K39" s="3"/>
      <c r="L39" s="3"/>
      <c r="M39" s="3"/>
      <c r="N39" s="3"/>
      <c r="O39" s="3"/>
      <c r="P39" s="3"/>
    </row>
    <row r="40">
      <c r="A40" s="3"/>
      <c r="B40" s="3"/>
      <c r="C40" s="3"/>
      <c r="D40" s="3"/>
      <c r="E40" s="3"/>
      <c r="F40" s="3"/>
      <c r="G40" s="3"/>
      <c r="H40" s="3"/>
      <c r="I40" s="3"/>
      <c r="J40" s="3"/>
      <c r="K40" s="3"/>
      <c r="L40" s="3"/>
      <c r="M40" s="3"/>
      <c r="N40" s="3"/>
      <c r="O40" s="3"/>
      <c r="P40" s="3"/>
    </row>
    <row r="41">
      <c r="A41" s="3"/>
      <c r="B41" s="3"/>
      <c r="C41" s="3"/>
      <c r="D41" s="3"/>
      <c r="E41" s="3"/>
      <c r="F41" s="3"/>
      <c r="G41" s="3"/>
      <c r="H41" s="3"/>
      <c r="I41" s="3"/>
      <c r="J41" s="3"/>
      <c r="K41" s="3"/>
      <c r="L41" s="3"/>
      <c r="M41" s="3"/>
      <c r="N41" s="3"/>
      <c r="O41" s="3"/>
      <c r="P41" s="3"/>
    </row>
    <row r="42">
      <c r="A42" s="3"/>
      <c r="B42" s="3"/>
      <c r="C42" s="3"/>
      <c r="D42" s="3"/>
      <c r="E42" s="3"/>
      <c r="F42" s="3"/>
      <c r="G42" s="3"/>
      <c r="H42" s="3"/>
      <c r="I42" s="3"/>
      <c r="J42" s="3"/>
      <c r="K42" s="3"/>
      <c r="L42" s="3"/>
      <c r="M42" s="3"/>
      <c r="N42" s="3"/>
      <c r="O42" s="3"/>
      <c r="P42" s="3"/>
    </row>
    <row r="43">
      <c r="A43" s="3"/>
      <c r="B43" s="3"/>
      <c r="C43" s="3"/>
      <c r="D43" s="3"/>
      <c r="E43" s="3"/>
      <c r="F43" s="3"/>
      <c r="G43" s="3"/>
      <c r="H43" s="3"/>
      <c r="I43" s="3"/>
      <c r="J43" s="3"/>
      <c r="K43" s="3"/>
      <c r="L43" s="3"/>
      <c r="M43" s="3"/>
      <c r="N43" s="3"/>
      <c r="O43" s="3"/>
      <c r="P43" s="3"/>
    </row>
    <row r="44">
      <c r="A44" s="3"/>
      <c r="B44" s="3"/>
      <c r="C44" s="3"/>
      <c r="D44" s="3"/>
      <c r="E44" s="3"/>
      <c r="F44" s="3"/>
      <c r="G44" s="3"/>
      <c r="H44" s="3"/>
      <c r="I44" s="3"/>
      <c r="J44" s="3"/>
      <c r="K44" s="3"/>
      <c r="L44" s="3"/>
      <c r="M44" s="3"/>
      <c r="N44" s="3"/>
      <c r="O44" s="3"/>
      <c r="P44" s="3"/>
    </row>
    <row r="45">
      <c r="A45" s="3"/>
      <c r="B45" s="3"/>
      <c r="C45" s="3"/>
      <c r="D45" s="3"/>
      <c r="E45" s="3"/>
      <c r="F45" s="3"/>
      <c r="G45" s="3"/>
      <c r="H45" s="3"/>
      <c r="I45" s="3"/>
      <c r="J45" s="3"/>
      <c r="K45" s="3"/>
      <c r="L45" s="3"/>
      <c r="M45" s="3"/>
      <c r="N45" s="3"/>
      <c r="O45" s="3"/>
      <c r="P45" s="3"/>
    </row>
    <row r="46">
      <c r="A46" s="3"/>
      <c r="B46" s="3"/>
      <c r="C46" s="3"/>
      <c r="D46" s="3"/>
      <c r="E46" s="3"/>
      <c r="F46" s="3"/>
      <c r="G46" s="3"/>
      <c r="H46" s="3"/>
      <c r="I46" s="3"/>
      <c r="J46" s="3"/>
      <c r="K46" s="3"/>
      <c r="L46" s="3"/>
      <c r="M46" s="3"/>
      <c r="N46" s="3"/>
      <c r="O46" s="3"/>
      <c r="P46" s="3"/>
    </row>
    <row r="47">
      <c r="A47" s="3"/>
      <c r="B47" s="3"/>
      <c r="C47" s="3"/>
      <c r="D47" s="3"/>
      <c r="E47" s="3"/>
      <c r="F47" s="3"/>
      <c r="G47" s="3"/>
      <c r="H47" s="3"/>
      <c r="I47" s="3"/>
      <c r="J47" s="3"/>
      <c r="K47" s="3"/>
      <c r="L47" s="3"/>
      <c r="M47" s="3"/>
      <c r="N47" s="3"/>
      <c r="O47" s="3"/>
      <c r="P47" s="3"/>
    </row>
    <row r="48">
      <c r="A48" s="3"/>
      <c r="B48" s="3"/>
      <c r="C48" s="3"/>
      <c r="D48" s="3"/>
      <c r="E48" s="3"/>
      <c r="F48" s="3"/>
      <c r="G48" s="3"/>
      <c r="H48" s="3"/>
      <c r="I48" s="3"/>
      <c r="J48" s="3"/>
      <c r="K48" s="3"/>
      <c r="L48" s="3"/>
      <c r="M48" s="3"/>
      <c r="N48" s="3"/>
      <c r="O48" s="3"/>
      <c r="P48" s="3"/>
    </row>
    <row r="49">
      <c r="A49" s="3"/>
      <c r="B49" s="3"/>
      <c r="C49" s="3"/>
      <c r="D49" s="3"/>
      <c r="E49" s="3"/>
      <c r="F49" s="3"/>
      <c r="G49" s="3"/>
      <c r="H49" s="3"/>
      <c r="I49" s="3"/>
      <c r="J49" s="3"/>
      <c r="K49" s="3"/>
      <c r="L49" s="3"/>
      <c r="M49" s="3"/>
      <c r="N49" s="3"/>
      <c r="O49" s="3"/>
      <c r="P49" s="3"/>
    </row>
    <row r="50">
      <c r="A50" s="3"/>
      <c r="B50" s="3"/>
      <c r="C50" s="3"/>
      <c r="D50" s="3"/>
      <c r="E50" s="3"/>
      <c r="F50" s="3"/>
      <c r="G50" s="3"/>
      <c r="H50" s="3"/>
      <c r="I50" s="3"/>
      <c r="J50" s="3"/>
      <c r="K50" s="3"/>
      <c r="L50" s="3"/>
      <c r="M50" s="3"/>
      <c r="N50" s="3"/>
      <c r="O50" s="3"/>
      <c r="P50" s="3"/>
    </row>
    <row r="51">
      <c r="A51" s="3"/>
      <c r="B51" s="3"/>
      <c r="C51" s="3"/>
      <c r="D51" s="3"/>
      <c r="E51" s="3"/>
      <c r="F51" s="3"/>
      <c r="G51" s="3"/>
      <c r="H51" s="3"/>
      <c r="I51" s="3"/>
      <c r="J51" s="3"/>
      <c r="K51" s="3"/>
      <c r="L51" s="3"/>
      <c r="M51" s="3"/>
      <c r="N51" s="3"/>
      <c r="O51" s="3"/>
      <c r="P51" s="3"/>
    </row>
    <row r="52">
      <c r="A52" s="3"/>
      <c r="B52" s="3"/>
      <c r="C52" s="3"/>
      <c r="D52" s="3"/>
      <c r="E52" s="3"/>
      <c r="F52" s="3"/>
      <c r="G52" s="3"/>
      <c r="H52" s="3"/>
      <c r="I52" s="3"/>
      <c r="J52" s="3"/>
      <c r="K52" s="3"/>
      <c r="L52" s="3"/>
      <c r="M52" s="3"/>
      <c r="N52" s="3"/>
      <c r="O52" s="3"/>
      <c r="P52" s="3"/>
    </row>
    <row r="53">
      <c r="A53" s="3"/>
      <c r="B53" s="3"/>
      <c r="C53" s="3"/>
      <c r="D53" s="3"/>
      <c r="E53" s="3"/>
      <c r="F53" s="3"/>
      <c r="G53" s="3"/>
      <c r="H53" s="3"/>
      <c r="I53" s="3"/>
      <c r="J53" s="3"/>
      <c r="K53" s="3"/>
      <c r="L53" s="3"/>
      <c r="M53" s="3"/>
      <c r="N53" s="3"/>
      <c r="O53" s="3"/>
      <c r="P53" s="3"/>
    </row>
    <row r="54">
      <c r="A54" s="3"/>
      <c r="B54" s="3"/>
      <c r="C54" s="3"/>
      <c r="D54" s="3"/>
      <c r="E54" s="3"/>
      <c r="F54" s="3"/>
      <c r="G54" s="3"/>
      <c r="H54" s="3"/>
      <c r="I54" s="3"/>
      <c r="J54" s="3"/>
      <c r="K54" s="3"/>
      <c r="L54" s="3"/>
      <c r="M54" s="3"/>
      <c r="N54" s="3"/>
      <c r="O54" s="3"/>
      <c r="P54" s="3"/>
    </row>
    <row r="55">
      <c r="A55" s="3"/>
      <c r="B55" s="3"/>
      <c r="C55" s="3"/>
      <c r="D55" s="3"/>
      <c r="E55" s="3"/>
      <c r="F55" s="3"/>
      <c r="G55" s="3"/>
      <c r="H55" s="3"/>
      <c r="I55" s="3"/>
      <c r="J55" s="3"/>
      <c r="K55" s="3"/>
      <c r="L55" s="3"/>
      <c r="M55" s="3"/>
      <c r="N55" s="3"/>
      <c r="O55" s="3"/>
      <c r="P55" s="3"/>
    </row>
    <row r="56">
      <c r="A56" s="3"/>
      <c r="B56" s="3"/>
      <c r="C56" s="3"/>
      <c r="D56" s="3"/>
      <c r="E56" s="3"/>
      <c r="F56" s="3"/>
      <c r="G56" s="3"/>
      <c r="H56" s="3"/>
      <c r="I56" s="3"/>
      <c r="J56" s="3"/>
      <c r="K56" s="3"/>
      <c r="L56" s="3"/>
      <c r="M56" s="3"/>
      <c r="N56" s="3"/>
      <c r="O56" s="3"/>
      <c r="P56" s="3"/>
    </row>
    <row r="57">
      <c r="A57" s="3"/>
      <c r="B57" s="3"/>
      <c r="C57" s="3"/>
      <c r="D57" s="3"/>
      <c r="E57" s="3"/>
      <c r="F57" s="3"/>
      <c r="G57" s="3"/>
      <c r="H57" s="3"/>
      <c r="I57" s="3"/>
      <c r="J57" s="3"/>
      <c r="K57" s="3"/>
      <c r="L57" s="3"/>
      <c r="M57" s="3"/>
      <c r="N57" s="3"/>
      <c r="O57" s="3"/>
      <c r="P57" s="3"/>
    </row>
    <row r="58">
      <c r="A58" s="3"/>
      <c r="B58" s="3"/>
      <c r="C58" s="3"/>
      <c r="D58" s="3"/>
      <c r="E58" s="3"/>
      <c r="F58" s="3"/>
      <c r="G58" s="3"/>
      <c r="H58" s="3"/>
      <c r="I58" s="3"/>
      <c r="J58" s="3"/>
      <c r="K58" s="3"/>
      <c r="L58" s="3"/>
      <c r="M58" s="3"/>
      <c r="N58" s="3"/>
      <c r="O58" s="3"/>
      <c r="P58" s="3"/>
    </row>
    <row r="59">
      <c r="A59" s="3"/>
      <c r="B59" s="3"/>
      <c r="C59" s="3"/>
      <c r="D59" s="3"/>
      <c r="E59" s="3"/>
      <c r="F59" s="3"/>
      <c r="G59" s="3"/>
      <c r="H59" s="3"/>
      <c r="I59" s="3"/>
      <c r="J59" s="3"/>
      <c r="K59" s="3"/>
      <c r="L59" s="3"/>
      <c r="M59" s="3"/>
      <c r="N59" s="3"/>
      <c r="O59" s="3"/>
      <c r="P59" s="3"/>
    </row>
    <row r="60">
      <c r="A60" s="3"/>
      <c r="B60" s="3"/>
      <c r="C60" s="3"/>
      <c r="D60" s="3"/>
      <c r="E60" s="3"/>
      <c r="F60" s="3"/>
      <c r="G60" s="3"/>
      <c r="H60" s="3"/>
      <c r="I60" s="3"/>
      <c r="J60" s="3"/>
      <c r="K60" s="3"/>
      <c r="L60" s="3"/>
      <c r="M60" s="3"/>
      <c r="N60" s="3"/>
      <c r="O60" s="3"/>
      <c r="P60" s="3"/>
    </row>
    <row r="61">
      <c r="A61" s="3"/>
      <c r="B61" s="3"/>
      <c r="C61" s="3"/>
      <c r="D61" s="3"/>
      <c r="E61" s="3"/>
      <c r="F61" s="3"/>
      <c r="G61" s="3"/>
      <c r="H61" s="3"/>
      <c r="I61" s="3"/>
      <c r="J61" s="3"/>
      <c r="K61" s="3"/>
      <c r="L61" s="3"/>
      <c r="M61" s="3"/>
      <c r="N61" s="3"/>
      <c r="O61" s="3"/>
      <c r="P61" s="3"/>
    </row>
    <row r="62">
      <c r="A62" s="3"/>
      <c r="B62" s="3"/>
      <c r="C62" s="3"/>
      <c r="D62" s="3"/>
      <c r="E62" s="3"/>
      <c r="F62" s="3"/>
      <c r="G62" s="3"/>
      <c r="H62" s="3"/>
      <c r="I62" s="3"/>
      <c r="J62" s="3"/>
      <c r="K62" s="3"/>
      <c r="L62" s="3"/>
      <c r="M62" s="3"/>
      <c r="N62" s="3"/>
      <c r="O62" s="3"/>
      <c r="P62" s="3"/>
    </row>
    <row r="63">
      <c r="A63" s="3"/>
      <c r="B63" s="3"/>
      <c r="C63" s="3"/>
      <c r="D63" s="3"/>
      <c r="E63" s="3"/>
      <c r="F63" s="3"/>
      <c r="G63" s="3"/>
      <c r="H63" s="3"/>
      <c r="I63" s="3"/>
      <c r="J63" s="3"/>
      <c r="K63" s="3"/>
      <c r="L63" s="3"/>
      <c r="M63" s="3"/>
      <c r="N63" s="3"/>
      <c r="O63" s="3"/>
      <c r="P63" s="3"/>
    </row>
    <row r="64">
      <c r="A64" s="3"/>
      <c r="B64" s="3"/>
      <c r="C64" s="3"/>
      <c r="D64" s="3"/>
      <c r="E64" s="3"/>
      <c r="F64" s="3"/>
      <c r="G64" s="3"/>
      <c r="H64" s="3"/>
      <c r="I64" s="3"/>
      <c r="J64" s="3"/>
      <c r="K64" s="3"/>
      <c r="L64" s="3"/>
      <c r="M64" s="3"/>
      <c r="N64" s="3"/>
      <c r="O64" s="3"/>
      <c r="P64" s="3"/>
    </row>
    <row r="65">
      <c r="A65" s="3"/>
      <c r="B65" s="3"/>
      <c r="C65" s="3"/>
      <c r="D65" s="3"/>
      <c r="E65" s="3"/>
      <c r="F65" s="3"/>
      <c r="G65" s="3"/>
      <c r="H65" s="3"/>
      <c r="I65" s="3"/>
      <c r="J65" s="3"/>
      <c r="K65" s="3"/>
      <c r="L65" s="3"/>
      <c r="M65" s="3"/>
      <c r="N65" s="3"/>
      <c r="O65" s="3"/>
      <c r="P65" s="3"/>
    </row>
    <row r="66">
      <c r="A66" s="3"/>
      <c r="B66" s="3"/>
      <c r="C66" s="3"/>
      <c r="D66" s="3"/>
      <c r="E66" s="3"/>
      <c r="F66" s="3"/>
      <c r="G66" s="3"/>
      <c r="H66" s="3"/>
      <c r="I66" s="3"/>
      <c r="J66" s="3"/>
      <c r="K66" s="3"/>
      <c r="L66" s="3"/>
      <c r="M66" s="3"/>
      <c r="N66" s="3"/>
      <c r="O66" s="3"/>
      <c r="P66" s="3"/>
    </row>
    <row r="67">
      <c r="A67" s="3"/>
      <c r="B67" s="3"/>
      <c r="C67" s="3"/>
      <c r="D67" s="3"/>
      <c r="E67" s="3"/>
      <c r="F67" s="3"/>
      <c r="G67" s="3"/>
      <c r="H67" s="3"/>
      <c r="I67" s="3"/>
      <c r="J67" s="3"/>
      <c r="K67" s="3"/>
      <c r="L67" s="3"/>
      <c r="M67" s="3"/>
      <c r="N67" s="3"/>
      <c r="O67" s="3"/>
      <c r="P67" s="3"/>
    </row>
    <row r="68">
      <c r="A68" s="3"/>
      <c r="B68" s="3"/>
      <c r="C68" s="3"/>
      <c r="D68" s="3"/>
      <c r="E68" s="3"/>
      <c r="F68" s="3"/>
      <c r="G68" s="3"/>
      <c r="H68" s="3"/>
      <c r="I68" s="3"/>
      <c r="J68" s="3"/>
      <c r="K68" s="3"/>
      <c r="L68" s="3"/>
      <c r="M68" s="3"/>
      <c r="N68" s="3"/>
      <c r="O68" s="3"/>
      <c r="P68" s="3"/>
    </row>
    <row r="69">
      <c r="A69" s="3"/>
      <c r="B69" s="3"/>
      <c r="C69" s="3"/>
      <c r="D69" s="3"/>
      <c r="E69" s="3"/>
      <c r="F69" s="3"/>
      <c r="G69" s="3"/>
      <c r="H69" s="3"/>
      <c r="I69" s="3"/>
      <c r="J69" s="3"/>
      <c r="K69" s="3"/>
      <c r="L69" s="3"/>
      <c r="M69" s="3"/>
      <c r="N69" s="3"/>
      <c r="O69" s="3"/>
      <c r="P69" s="3"/>
    </row>
    <row r="70">
      <c r="A70" s="3"/>
      <c r="B70" s="3"/>
      <c r="C70" s="3"/>
      <c r="D70" s="3"/>
      <c r="E70" s="3"/>
      <c r="F70" s="3"/>
      <c r="G70" s="3"/>
      <c r="H70" s="3"/>
      <c r="I70" s="3"/>
      <c r="J70" s="3"/>
      <c r="K70" s="3"/>
      <c r="L70" s="3"/>
      <c r="M70" s="3"/>
      <c r="N70" s="3"/>
      <c r="O70" s="3"/>
      <c r="P70" s="3"/>
    </row>
    <row r="71">
      <c r="A71" s="3"/>
      <c r="B71" s="3"/>
      <c r="C71" s="3"/>
      <c r="D71" s="3"/>
      <c r="E71" s="3"/>
      <c r="F71" s="3"/>
      <c r="G71" s="3"/>
      <c r="H71" s="3"/>
      <c r="I71" s="3"/>
      <c r="J71" s="3"/>
      <c r="K71" s="3"/>
      <c r="L71" s="3"/>
      <c r="M71" s="3"/>
      <c r="N71" s="3"/>
      <c r="O71" s="3"/>
      <c r="P71" s="3"/>
    </row>
    <row r="72">
      <c r="A72" s="3"/>
      <c r="B72" s="3"/>
      <c r="C72" s="3"/>
      <c r="D72" s="3"/>
      <c r="E72" s="3"/>
      <c r="F72" s="3"/>
      <c r="G72" s="3"/>
      <c r="H72" s="3"/>
      <c r="I72" s="3"/>
      <c r="J72" s="3"/>
      <c r="K72" s="3"/>
      <c r="L72" s="3"/>
      <c r="M72" s="3"/>
      <c r="N72" s="3"/>
      <c r="O72" s="3"/>
      <c r="P72" s="3"/>
    </row>
    <row r="73">
      <c r="A73" s="3"/>
      <c r="B73" s="3"/>
      <c r="C73" s="3"/>
      <c r="D73" s="3"/>
      <c r="E73" s="3"/>
      <c r="F73" s="3"/>
      <c r="G73" s="3"/>
      <c r="H73" s="3"/>
      <c r="I73" s="3"/>
      <c r="J73" s="3"/>
      <c r="K73" s="3"/>
      <c r="L73" s="3"/>
      <c r="M73" s="3"/>
      <c r="N73" s="3"/>
      <c r="O73" s="3"/>
      <c r="P73" s="3"/>
    </row>
    <row r="74">
      <c r="A74" s="3"/>
      <c r="B74" s="3"/>
      <c r="C74" s="3"/>
      <c r="D74" s="3"/>
      <c r="E74" s="3"/>
      <c r="F74" s="3"/>
      <c r="G74" s="3"/>
      <c r="H74" s="3"/>
      <c r="I74" s="3"/>
      <c r="J74" s="3"/>
      <c r="K74" s="3"/>
      <c r="L74" s="3"/>
      <c r="M74" s="3"/>
      <c r="N74" s="3"/>
      <c r="O74" s="3"/>
      <c r="P74" s="3"/>
    </row>
    <row r="75">
      <c r="A75" s="3"/>
      <c r="B75" s="3"/>
      <c r="C75" s="3"/>
      <c r="D75" s="3"/>
      <c r="E75" s="3"/>
      <c r="F75" s="3"/>
      <c r="G75" s="3"/>
      <c r="H75" s="3"/>
      <c r="I75" s="3"/>
      <c r="J75" s="3"/>
      <c r="K75" s="3"/>
      <c r="L75" s="3"/>
      <c r="M75" s="3"/>
      <c r="N75" s="3"/>
      <c r="O75" s="3"/>
      <c r="P75" s="3"/>
    </row>
    <row r="76">
      <c r="A76" s="3"/>
      <c r="B76" s="3"/>
      <c r="C76" s="3"/>
      <c r="D76" s="3"/>
      <c r="E76" s="3"/>
      <c r="F76" s="3"/>
      <c r="G76" s="3"/>
      <c r="H76" s="3"/>
      <c r="I76" s="3"/>
      <c r="J76" s="3"/>
      <c r="K76" s="3"/>
      <c r="L76" s="3"/>
      <c r="M76" s="3"/>
      <c r="N76" s="3"/>
      <c r="O76" s="3"/>
      <c r="P76" s="3"/>
    </row>
    <row r="77">
      <c r="A77" s="3"/>
      <c r="B77" s="3"/>
      <c r="C77" s="3"/>
      <c r="D77" s="3"/>
      <c r="E77" s="3"/>
      <c r="F77" s="3"/>
      <c r="G77" s="3"/>
      <c r="H77" s="3"/>
      <c r="I77" s="3"/>
      <c r="J77" s="3"/>
      <c r="K77" s="3"/>
      <c r="L77" s="3"/>
      <c r="M77" s="3"/>
      <c r="N77" s="3"/>
      <c r="O77" s="3"/>
      <c r="P77" s="3"/>
    </row>
    <row r="78">
      <c r="A78" s="3"/>
      <c r="B78" s="3"/>
      <c r="C78" s="3"/>
      <c r="D78" s="3"/>
      <c r="E78" s="3"/>
      <c r="F78" s="3"/>
      <c r="G78" s="3"/>
      <c r="H78" s="3"/>
      <c r="I78" s="3"/>
      <c r="J78" s="3"/>
      <c r="K78" s="3"/>
      <c r="L78" s="3"/>
      <c r="M78" s="3"/>
      <c r="N78" s="3"/>
      <c r="O78" s="3"/>
      <c r="P78" s="3"/>
    </row>
    <row r="79">
      <c r="A79" s="3"/>
      <c r="B79" s="3"/>
      <c r="C79" s="3"/>
      <c r="D79" s="3"/>
      <c r="E79" s="3"/>
      <c r="F79" s="3"/>
      <c r="G79" s="3"/>
      <c r="H79" s="3"/>
      <c r="I79" s="3"/>
      <c r="J79" s="3"/>
      <c r="K79" s="3"/>
      <c r="L79" s="3"/>
      <c r="M79" s="3"/>
      <c r="N79" s="3"/>
      <c r="O79" s="3"/>
      <c r="P79" s="3"/>
    </row>
    <row r="80">
      <c r="A80" s="3"/>
      <c r="B80" s="3"/>
      <c r="C80" s="3"/>
      <c r="D80" s="3"/>
      <c r="E80" s="3"/>
      <c r="F80" s="3"/>
      <c r="G80" s="3"/>
      <c r="H80" s="3"/>
      <c r="I80" s="3"/>
      <c r="J80" s="3"/>
      <c r="K80" s="3"/>
      <c r="L80" s="3"/>
      <c r="M80" s="3"/>
      <c r="N80" s="3"/>
      <c r="O80" s="3"/>
      <c r="P80" s="3"/>
    </row>
    <row r="81">
      <c r="A81" s="3"/>
      <c r="B81" s="3"/>
      <c r="C81" s="3"/>
      <c r="D81" s="3"/>
      <c r="E81" s="3"/>
      <c r="F81" s="3"/>
      <c r="G81" s="3"/>
      <c r="H81" s="3"/>
      <c r="I81" s="3"/>
      <c r="J81" s="3"/>
      <c r="K81" s="3"/>
      <c r="L81" s="3"/>
      <c r="M81" s="3"/>
      <c r="N81" s="3"/>
      <c r="O81" s="3"/>
      <c r="P81" s="3"/>
    </row>
    <row r="82">
      <c r="A82" s="3"/>
      <c r="B82" s="3"/>
      <c r="C82" s="3"/>
      <c r="D82" s="3"/>
      <c r="E82" s="3"/>
      <c r="F82" s="3"/>
      <c r="G82" s="3"/>
      <c r="H82" s="3"/>
      <c r="I82" s="3"/>
      <c r="J82" s="3"/>
      <c r="K82" s="3"/>
      <c r="L82" s="3"/>
      <c r="M82" s="3"/>
      <c r="N82" s="3"/>
      <c r="O82" s="3"/>
      <c r="P82" s="3"/>
    </row>
    <row r="83">
      <c r="A83" s="3"/>
      <c r="B83" s="3"/>
      <c r="C83" s="3"/>
      <c r="D83" s="3"/>
      <c r="E83" s="3"/>
      <c r="F83" s="3"/>
      <c r="G83" s="3"/>
      <c r="H83" s="3"/>
      <c r="I83" s="3"/>
      <c r="J83" s="3"/>
      <c r="K83" s="3"/>
      <c r="L83" s="3"/>
      <c r="M83" s="3"/>
      <c r="N83" s="3"/>
      <c r="O83" s="3"/>
      <c r="P83" s="3"/>
    </row>
    <row r="84">
      <c r="A84" s="3"/>
      <c r="B84" s="3"/>
      <c r="C84" s="3"/>
      <c r="D84" s="3"/>
      <c r="E84" s="3"/>
      <c r="F84" s="3"/>
      <c r="G84" s="3"/>
      <c r="H84" s="3"/>
      <c r="I84" s="3"/>
      <c r="J84" s="3"/>
      <c r="K84" s="3"/>
      <c r="L84" s="3"/>
      <c r="M84" s="3"/>
      <c r="N84" s="3"/>
      <c r="O84" s="3"/>
      <c r="P84" s="3"/>
    </row>
    <row r="85">
      <c r="A85" s="3"/>
      <c r="B85" s="3"/>
      <c r="C85" s="3"/>
      <c r="D85" s="3"/>
      <c r="E85" s="3"/>
      <c r="F85" s="3"/>
      <c r="G85" s="3"/>
      <c r="H85" s="3"/>
      <c r="I85" s="3"/>
      <c r="J85" s="3"/>
      <c r="K85" s="3"/>
      <c r="L85" s="3"/>
      <c r="M85" s="3"/>
      <c r="N85" s="3"/>
      <c r="O85" s="3"/>
      <c r="P85" s="3"/>
    </row>
    <row r="86">
      <c r="A86" s="3"/>
      <c r="B86" s="3"/>
      <c r="C86" s="3"/>
      <c r="D86" s="3"/>
      <c r="E86" s="3"/>
      <c r="F86" s="3"/>
      <c r="G86" s="3"/>
      <c r="H86" s="3"/>
      <c r="I86" s="3"/>
      <c r="J86" s="3"/>
      <c r="K86" s="3"/>
      <c r="L86" s="3"/>
      <c r="M86" s="3"/>
      <c r="N86" s="3"/>
      <c r="O86" s="3"/>
      <c r="P86" s="3"/>
    </row>
    <row r="87">
      <c r="A87" s="3"/>
      <c r="B87" s="3"/>
      <c r="C87" s="3"/>
      <c r="D87" s="3"/>
      <c r="E87" s="3"/>
      <c r="F87" s="3"/>
      <c r="G87" s="3"/>
      <c r="H87" s="3"/>
      <c r="I87" s="3"/>
      <c r="J87" s="3"/>
      <c r="K87" s="3"/>
      <c r="L87" s="3"/>
      <c r="M87" s="3"/>
      <c r="N87" s="3"/>
      <c r="O87" s="3"/>
      <c r="P87" s="3"/>
    </row>
    <row r="88">
      <c r="A88" s="3"/>
      <c r="B88" s="3"/>
      <c r="C88" s="3"/>
      <c r="D88" s="3"/>
      <c r="E88" s="3"/>
      <c r="F88" s="3"/>
      <c r="G88" s="3"/>
      <c r="H88" s="3"/>
      <c r="I88" s="3"/>
      <c r="J88" s="3"/>
      <c r="K88" s="3"/>
      <c r="L88" s="3"/>
      <c r="M88" s="3"/>
      <c r="N88" s="3"/>
      <c r="O88" s="3"/>
      <c r="P88" s="3"/>
    </row>
    <row r="89">
      <c r="A89" s="3"/>
      <c r="B89" s="3"/>
      <c r="C89" s="3"/>
      <c r="D89" s="3"/>
      <c r="E89" s="3"/>
      <c r="F89" s="3"/>
      <c r="G89" s="3"/>
      <c r="H89" s="3"/>
      <c r="I89" s="3"/>
      <c r="J89" s="3"/>
      <c r="K89" s="3"/>
      <c r="L89" s="3"/>
      <c r="M89" s="3"/>
      <c r="N89" s="3"/>
      <c r="O89" s="3"/>
      <c r="P89" s="3"/>
    </row>
    <row r="90">
      <c r="A90" s="3"/>
      <c r="B90" s="3"/>
      <c r="C90" s="3"/>
      <c r="D90" s="3"/>
      <c r="E90" s="3"/>
      <c r="F90" s="3"/>
      <c r="G90" s="3"/>
      <c r="H90" s="3"/>
      <c r="I90" s="3"/>
      <c r="J90" s="3"/>
      <c r="K90" s="3"/>
      <c r="L90" s="3"/>
      <c r="M90" s="3"/>
      <c r="N90" s="3"/>
      <c r="O90" s="3"/>
      <c r="P90" s="3"/>
    </row>
    <row r="91">
      <c r="A91" s="3"/>
      <c r="B91" s="3"/>
      <c r="C91" s="3"/>
      <c r="D91" s="3"/>
      <c r="E91" s="3"/>
      <c r="F91" s="3"/>
      <c r="G91" s="3"/>
      <c r="H91" s="3"/>
      <c r="I91" s="3"/>
      <c r="J91" s="3"/>
      <c r="K91" s="3"/>
      <c r="L91" s="3"/>
      <c r="M91" s="3"/>
      <c r="N91" s="3"/>
      <c r="O91" s="3"/>
      <c r="P91" s="3"/>
    </row>
    <row r="92">
      <c r="A92" s="3"/>
      <c r="B92" s="3"/>
      <c r="C92" s="3"/>
      <c r="D92" s="3"/>
      <c r="E92" s="3"/>
      <c r="F92" s="3"/>
      <c r="G92" s="3"/>
      <c r="H92" s="3"/>
      <c r="I92" s="3"/>
      <c r="J92" s="3"/>
      <c r="K92" s="3"/>
      <c r="L92" s="3"/>
      <c r="M92" s="3"/>
      <c r="N92" s="3"/>
      <c r="O92" s="3"/>
      <c r="P92" s="3"/>
    </row>
    <row r="93">
      <c r="A93" s="3"/>
      <c r="B93" s="3"/>
      <c r="C93" s="3"/>
      <c r="D93" s="3"/>
      <c r="E93" s="3"/>
      <c r="F93" s="3"/>
      <c r="G93" s="3"/>
      <c r="H93" s="3"/>
      <c r="I93" s="3"/>
      <c r="J93" s="3"/>
      <c r="K93" s="3"/>
      <c r="L93" s="3"/>
      <c r="M93" s="3"/>
      <c r="N93" s="3"/>
      <c r="O93" s="3"/>
      <c r="P93" s="3"/>
    </row>
    <row r="94">
      <c r="A94" s="3"/>
      <c r="B94" s="3"/>
      <c r="C94" s="3"/>
      <c r="D94" s="3"/>
      <c r="E94" s="3"/>
      <c r="F94" s="3"/>
      <c r="G94" s="3"/>
      <c r="H94" s="3"/>
      <c r="I94" s="3"/>
      <c r="J94" s="3"/>
      <c r="K94" s="3"/>
      <c r="L94" s="3"/>
      <c r="M94" s="3"/>
      <c r="N94" s="3"/>
      <c r="O94" s="3"/>
      <c r="P94" s="3"/>
    </row>
    <row r="95">
      <c r="A95" s="3"/>
      <c r="B95" s="3"/>
      <c r="C95" s="3"/>
      <c r="D95" s="3"/>
      <c r="E95" s="3"/>
      <c r="F95" s="3"/>
      <c r="G95" s="3"/>
      <c r="H95" s="3"/>
      <c r="I95" s="3"/>
      <c r="J95" s="3"/>
      <c r="K95" s="3"/>
      <c r="L95" s="3"/>
      <c r="M95" s="3"/>
      <c r="N95" s="3"/>
      <c r="O95" s="3"/>
      <c r="P95" s="3"/>
    </row>
    <row r="96">
      <c r="A96" s="3"/>
      <c r="B96" s="3"/>
      <c r="C96" s="3"/>
      <c r="D96" s="3"/>
      <c r="E96" s="3"/>
      <c r="F96" s="3"/>
      <c r="G96" s="3"/>
      <c r="H96" s="3"/>
      <c r="I96" s="3"/>
      <c r="J96" s="3"/>
      <c r="K96" s="3"/>
      <c r="L96" s="3"/>
      <c r="M96" s="3"/>
      <c r="N96" s="3"/>
      <c r="O96" s="3"/>
      <c r="P96" s="3"/>
    </row>
    <row r="97">
      <c r="A97" s="3"/>
      <c r="B97" s="3"/>
      <c r="C97" s="3"/>
      <c r="D97" s="3"/>
      <c r="E97" s="3"/>
      <c r="F97" s="3"/>
      <c r="G97" s="3"/>
      <c r="H97" s="3"/>
      <c r="I97" s="3"/>
      <c r="J97" s="3"/>
      <c r="K97" s="3"/>
      <c r="L97" s="3"/>
      <c r="M97" s="3"/>
      <c r="N97" s="3"/>
      <c r="O97" s="3"/>
      <c r="P97" s="3"/>
    </row>
    <row r="98">
      <c r="A98" s="3"/>
      <c r="B98" s="3"/>
      <c r="C98" s="3"/>
      <c r="D98" s="3"/>
      <c r="E98" s="3"/>
      <c r="F98" s="3"/>
      <c r="G98" s="3"/>
      <c r="H98" s="3"/>
      <c r="I98" s="3"/>
      <c r="J98" s="3"/>
      <c r="K98" s="3"/>
      <c r="L98" s="3"/>
      <c r="M98" s="3"/>
      <c r="N98" s="3"/>
      <c r="O98" s="3"/>
      <c r="P98" s="3"/>
    </row>
    <row r="99">
      <c r="A99" s="3"/>
      <c r="B99" s="3"/>
      <c r="C99" s="3"/>
      <c r="D99" s="3"/>
      <c r="E99" s="3"/>
      <c r="F99" s="3"/>
      <c r="G99" s="3"/>
      <c r="H99" s="3"/>
      <c r="I99" s="3"/>
      <c r="J99" s="3"/>
      <c r="K99" s="3"/>
      <c r="L99" s="3"/>
      <c r="M99" s="3"/>
      <c r="N99" s="3"/>
      <c r="O99" s="3"/>
      <c r="P99" s="3"/>
    </row>
    <row r="100">
      <c r="A100" s="3"/>
      <c r="B100" s="3"/>
      <c r="C100" s="3"/>
      <c r="D100" s="3"/>
      <c r="E100" s="3"/>
      <c r="F100" s="3"/>
      <c r="G100" s="3"/>
      <c r="H100" s="3"/>
      <c r="I100" s="3"/>
      <c r="J100" s="3"/>
      <c r="K100" s="3"/>
      <c r="L100" s="3"/>
      <c r="M100" s="3"/>
      <c r="N100" s="3"/>
      <c r="O100" s="3"/>
      <c r="P100" s="3"/>
    </row>
    <row r="101">
      <c r="A101" s="3"/>
      <c r="B101" s="3"/>
      <c r="C101" s="3"/>
      <c r="D101" s="3"/>
      <c r="E101" s="3"/>
      <c r="F101" s="3"/>
      <c r="G101" s="3"/>
      <c r="H101" s="3"/>
      <c r="I101" s="3"/>
      <c r="J101" s="3"/>
      <c r="K101" s="3"/>
      <c r="L101" s="3"/>
      <c r="M101" s="3"/>
      <c r="N101" s="3"/>
      <c r="O101" s="3"/>
      <c r="P101" s="3"/>
    </row>
    <row r="102">
      <c r="A102" s="3"/>
      <c r="B102" s="3"/>
      <c r="C102" s="3"/>
      <c r="D102" s="3"/>
      <c r="E102" s="3"/>
      <c r="F102" s="3"/>
      <c r="G102" s="3"/>
      <c r="H102" s="3"/>
      <c r="I102" s="3"/>
      <c r="J102" s="3"/>
      <c r="K102" s="3"/>
      <c r="L102" s="3"/>
      <c r="M102" s="3"/>
      <c r="N102" s="3"/>
      <c r="O102" s="3"/>
      <c r="P102" s="3"/>
    </row>
    <row r="103">
      <c r="A103" s="3"/>
      <c r="B103" s="3"/>
      <c r="C103" s="3"/>
      <c r="D103" s="3"/>
      <c r="E103" s="3"/>
      <c r="F103" s="3"/>
      <c r="G103" s="3"/>
      <c r="H103" s="3"/>
      <c r="I103" s="3"/>
      <c r="J103" s="3"/>
      <c r="K103" s="3"/>
      <c r="L103" s="3"/>
      <c r="M103" s="3"/>
      <c r="N103" s="3"/>
      <c r="O103" s="3"/>
      <c r="P103" s="3"/>
    </row>
    <row r="104">
      <c r="A104" s="3"/>
      <c r="B104" s="3"/>
      <c r="C104" s="3"/>
      <c r="D104" s="3"/>
      <c r="E104" s="3"/>
      <c r="F104" s="3"/>
      <c r="G104" s="3"/>
      <c r="H104" s="3"/>
      <c r="I104" s="3"/>
      <c r="J104" s="3"/>
      <c r="K104" s="3"/>
      <c r="L104" s="3"/>
      <c r="M104" s="3"/>
      <c r="N104" s="3"/>
      <c r="O104" s="3"/>
      <c r="P104" s="3"/>
    </row>
    <row r="105">
      <c r="A105" s="3"/>
      <c r="B105" s="3"/>
      <c r="C105" s="3"/>
      <c r="D105" s="3"/>
      <c r="E105" s="3"/>
      <c r="F105" s="3"/>
      <c r="G105" s="3"/>
      <c r="H105" s="3"/>
      <c r="I105" s="3"/>
      <c r="J105" s="3"/>
      <c r="K105" s="3"/>
      <c r="L105" s="3"/>
      <c r="M105" s="3"/>
      <c r="N105" s="3"/>
      <c r="O105" s="3"/>
      <c r="P105" s="3"/>
    </row>
    <row r="106">
      <c r="A106" s="3"/>
      <c r="B106" s="3"/>
      <c r="C106" s="3"/>
      <c r="D106" s="3"/>
      <c r="E106" s="3"/>
      <c r="F106" s="3"/>
      <c r="G106" s="3"/>
      <c r="H106" s="3"/>
      <c r="I106" s="3"/>
      <c r="J106" s="3"/>
      <c r="K106" s="3"/>
      <c r="L106" s="3"/>
      <c r="M106" s="3"/>
      <c r="N106" s="3"/>
      <c r="O106" s="3"/>
      <c r="P106" s="3"/>
    </row>
    <row r="107">
      <c r="A107" s="3"/>
      <c r="B107" s="3"/>
      <c r="C107" s="3"/>
      <c r="D107" s="3"/>
      <c r="E107" s="3"/>
      <c r="F107" s="3"/>
      <c r="G107" s="3"/>
      <c r="H107" s="3"/>
      <c r="I107" s="3"/>
      <c r="J107" s="3"/>
      <c r="K107" s="3"/>
      <c r="L107" s="3"/>
      <c r="M107" s="3"/>
      <c r="N107" s="3"/>
      <c r="O107" s="3"/>
      <c r="P107" s="3"/>
    </row>
    <row r="108">
      <c r="A108" s="3"/>
      <c r="B108" s="3"/>
      <c r="C108" s="3"/>
      <c r="D108" s="3"/>
      <c r="E108" s="3"/>
      <c r="F108" s="3"/>
      <c r="G108" s="3"/>
      <c r="H108" s="3"/>
      <c r="I108" s="3"/>
      <c r="J108" s="3"/>
      <c r="K108" s="3"/>
      <c r="L108" s="3"/>
      <c r="M108" s="3"/>
      <c r="N108" s="3"/>
      <c r="O108" s="3"/>
      <c r="P108" s="3"/>
    </row>
    <row r="109">
      <c r="A109" s="3"/>
      <c r="B109" s="3"/>
      <c r="C109" s="3"/>
      <c r="D109" s="3"/>
      <c r="E109" s="3"/>
      <c r="F109" s="3"/>
      <c r="G109" s="3"/>
      <c r="H109" s="3"/>
      <c r="I109" s="3"/>
      <c r="J109" s="3"/>
      <c r="K109" s="3"/>
      <c r="L109" s="3"/>
      <c r="M109" s="3"/>
      <c r="N109" s="3"/>
      <c r="O109" s="3"/>
      <c r="P109" s="3"/>
    </row>
    <row r="110">
      <c r="A110" s="3"/>
      <c r="B110" s="3"/>
      <c r="C110" s="3"/>
      <c r="D110" s="3"/>
      <c r="E110" s="3"/>
      <c r="F110" s="3"/>
      <c r="G110" s="3"/>
      <c r="H110" s="3"/>
      <c r="I110" s="3"/>
      <c r="J110" s="3"/>
      <c r="K110" s="3"/>
      <c r="L110" s="3"/>
      <c r="M110" s="3"/>
      <c r="N110" s="3"/>
      <c r="O110" s="3"/>
      <c r="P110" s="3"/>
    </row>
    <row r="111">
      <c r="A111" s="3"/>
      <c r="B111" s="3"/>
      <c r="C111" s="3"/>
      <c r="D111" s="3"/>
      <c r="E111" s="3"/>
      <c r="F111" s="3"/>
      <c r="G111" s="3"/>
      <c r="H111" s="3"/>
      <c r="I111" s="3"/>
      <c r="J111" s="3"/>
      <c r="K111" s="3"/>
      <c r="L111" s="3"/>
      <c r="M111" s="3"/>
      <c r="N111" s="3"/>
      <c r="O111" s="3"/>
      <c r="P111" s="3"/>
    </row>
    <row r="112">
      <c r="A112" s="3"/>
      <c r="B112" s="3"/>
      <c r="C112" s="3"/>
      <c r="D112" s="3"/>
      <c r="E112" s="3"/>
      <c r="F112" s="3"/>
      <c r="G112" s="3"/>
      <c r="H112" s="3"/>
      <c r="I112" s="3"/>
      <c r="J112" s="3"/>
      <c r="K112" s="3"/>
      <c r="L112" s="3"/>
      <c r="M112" s="3"/>
      <c r="N112" s="3"/>
      <c r="O112" s="3"/>
      <c r="P112" s="3"/>
    </row>
    <row r="113">
      <c r="A113" s="3"/>
      <c r="B113" s="3"/>
      <c r="C113" s="3"/>
      <c r="D113" s="3"/>
      <c r="E113" s="3"/>
      <c r="F113" s="3"/>
      <c r="G113" s="3"/>
      <c r="H113" s="3"/>
      <c r="I113" s="3"/>
      <c r="J113" s="3"/>
      <c r="K113" s="3"/>
      <c r="L113" s="3"/>
      <c r="M113" s="3"/>
      <c r="N113" s="3"/>
      <c r="O113" s="3"/>
      <c r="P113" s="3"/>
    </row>
    <row r="114">
      <c r="A114" s="3"/>
      <c r="B114" s="3"/>
      <c r="C114" s="3"/>
      <c r="D114" s="3"/>
      <c r="E114" s="3"/>
      <c r="F114" s="3"/>
      <c r="G114" s="3"/>
      <c r="H114" s="3"/>
      <c r="I114" s="3"/>
      <c r="J114" s="3"/>
      <c r="K114" s="3"/>
      <c r="L114" s="3"/>
      <c r="M114" s="3"/>
      <c r="N114" s="3"/>
      <c r="O114" s="3"/>
      <c r="P114" s="3"/>
    </row>
    <row r="115">
      <c r="A115" s="3"/>
      <c r="B115" s="3"/>
      <c r="C115" s="3"/>
      <c r="D115" s="3"/>
      <c r="E115" s="3"/>
      <c r="F115" s="3"/>
      <c r="G115" s="3"/>
      <c r="H115" s="3"/>
      <c r="I115" s="3"/>
      <c r="J115" s="3"/>
      <c r="K115" s="3"/>
      <c r="L115" s="3"/>
      <c r="M115" s="3"/>
      <c r="N115" s="3"/>
      <c r="O115" s="3"/>
      <c r="P115" s="3"/>
    </row>
    <row r="116">
      <c r="A116" s="3"/>
      <c r="B116" s="3"/>
      <c r="C116" s="3"/>
      <c r="D116" s="3"/>
      <c r="E116" s="3"/>
      <c r="F116" s="3"/>
      <c r="G116" s="3"/>
      <c r="H116" s="3"/>
      <c r="I116" s="3"/>
      <c r="J116" s="3"/>
      <c r="K116" s="3"/>
      <c r="L116" s="3"/>
      <c r="M116" s="3"/>
      <c r="N116" s="3"/>
      <c r="O116" s="3"/>
      <c r="P116" s="3"/>
    </row>
    <row r="117">
      <c r="A117" s="3"/>
      <c r="B117" s="3"/>
      <c r="C117" s="3"/>
      <c r="D117" s="3"/>
      <c r="E117" s="3"/>
      <c r="F117" s="3"/>
      <c r="G117" s="3"/>
      <c r="H117" s="3"/>
      <c r="I117" s="3"/>
      <c r="J117" s="3"/>
      <c r="K117" s="3"/>
      <c r="L117" s="3"/>
      <c r="M117" s="3"/>
      <c r="N117" s="3"/>
      <c r="O117" s="3"/>
      <c r="P117" s="3"/>
    </row>
    <row r="118">
      <c r="A118" s="3"/>
      <c r="B118" s="3"/>
      <c r="C118" s="3"/>
      <c r="D118" s="3"/>
      <c r="E118" s="3"/>
      <c r="F118" s="3"/>
      <c r="G118" s="3"/>
      <c r="H118" s="3"/>
      <c r="I118" s="3"/>
      <c r="J118" s="3"/>
      <c r="K118" s="3"/>
      <c r="L118" s="3"/>
      <c r="M118" s="3"/>
      <c r="N118" s="3"/>
      <c r="O118" s="3"/>
      <c r="P118" s="3"/>
    </row>
    <row r="119">
      <c r="A119" s="3"/>
      <c r="B119" s="3"/>
      <c r="C119" s="3"/>
      <c r="D119" s="3"/>
      <c r="E119" s="3"/>
      <c r="F119" s="3"/>
      <c r="G119" s="3"/>
      <c r="H119" s="3"/>
      <c r="I119" s="3"/>
      <c r="J119" s="3"/>
      <c r="K119" s="3"/>
      <c r="L119" s="3"/>
      <c r="M119" s="3"/>
      <c r="N119" s="3"/>
      <c r="O119" s="3"/>
      <c r="P119" s="3"/>
    </row>
    <row r="120">
      <c r="A120" s="3"/>
      <c r="B120" s="3"/>
      <c r="C120" s="3"/>
      <c r="D120" s="3"/>
      <c r="E120" s="3"/>
      <c r="F120" s="3"/>
      <c r="G120" s="3"/>
      <c r="H120" s="3"/>
      <c r="I120" s="3"/>
      <c r="J120" s="3"/>
      <c r="K120" s="3"/>
      <c r="L120" s="3"/>
      <c r="M120" s="3"/>
      <c r="N120" s="3"/>
      <c r="O120" s="3"/>
      <c r="P120" s="3"/>
    </row>
    <row r="121">
      <c r="A121" s="3"/>
      <c r="B121" s="3"/>
      <c r="C121" s="3"/>
      <c r="D121" s="3"/>
      <c r="E121" s="3"/>
      <c r="F121" s="3"/>
      <c r="G121" s="3"/>
      <c r="H121" s="3"/>
      <c r="I121" s="3"/>
      <c r="J121" s="3"/>
      <c r="K121" s="3"/>
      <c r="L121" s="3"/>
      <c r="M121" s="3"/>
      <c r="N121" s="3"/>
      <c r="O121" s="3"/>
      <c r="P121" s="3"/>
    </row>
    <row r="122">
      <c r="A122" s="3"/>
      <c r="B122" s="3"/>
      <c r="C122" s="3"/>
      <c r="D122" s="3"/>
      <c r="E122" s="3"/>
      <c r="F122" s="3"/>
      <c r="G122" s="3"/>
      <c r="H122" s="3"/>
      <c r="I122" s="3"/>
      <c r="J122" s="3"/>
      <c r="K122" s="3"/>
      <c r="L122" s="3"/>
      <c r="M122" s="3"/>
      <c r="N122" s="3"/>
      <c r="O122" s="3"/>
      <c r="P122" s="3"/>
    </row>
    <row r="123">
      <c r="A123" s="3"/>
      <c r="B123" s="3"/>
      <c r="C123" s="3"/>
      <c r="D123" s="3"/>
      <c r="E123" s="3"/>
      <c r="F123" s="3"/>
      <c r="G123" s="3"/>
      <c r="H123" s="3"/>
      <c r="I123" s="3"/>
      <c r="J123" s="3"/>
      <c r="K123" s="3"/>
      <c r="L123" s="3"/>
      <c r="M123" s="3"/>
      <c r="N123" s="3"/>
      <c r="O123" s="3"/>
      <c r="P123" s="3"/>
    </row>
    <row r="124">
      <c r="A124" s="3"/>
      <c r="B124" s="3"/>
      <c r="C124" s="3"/>
      <c r="D124" s="3"/>
      <c r="E124" s="3"/>
      <c r="F124" s="3"/>
      <c r="G124" s="3"/>
      <c r="H124" s="3"/>
      <c r="I124" s="3"/>
      <c r="J124" s="3"/>
      <c r="K124" s="3"/>
      <c r="L124" s="3"/>
      <c r="M124" s="3"/>
      <c r="N124" s="3"/>
      <c r="O124" s="3"/>
      <c r="P124" s="3"/>
    </row>
    <row r="125">
      <c r="A125" s="3"/>
      <c r="B125" s="3"/>
      <c r="C125" s="3"/>
      <c r="D125" s="3"/>
      <c r="E125" s="3"/>
      <c r="F125" s="3"/>
      <c r="G125" s="3"/>
      <c r="H125" s="3"/>
      <c r="I125" s="3"/>
      <c r="J125" s="3"/>
      <c r="K125" s="3"/>
      <c r="L125" s="3"/>
      <c r="M125" s="3"/>
      <c r="N125" s="3"/>
      <c r="O125" s="3"/>
      <c r="P125" s="3"/>
    </row>
    <row r="126">
      <c r="A126" s="3"/>
      <c r="B126" s="3"/>
      <c r="C126" s="3"/>
      <c r="D126" s="3"/>
      <c r="E126" s="3"/>
      <c r="F126" s="3"/>
      <c r="G126" s="3"/>
      <c r="H126" s="3"/>
      <c r="I126" s="3"/>
      <c r="J126" s="3"/>
      <c r="K126" s="3"/>
      <c r="L126" s="3"/>
      <c r="M126" s="3"/>
      <c r="N126" s="3"/>
      <c r="O126" s="3"/>
      <c r="P126" s="3"/>
    </row>
    <row r="127">
      <c r="A127" s="3"/>
      <c r="B127" s="3"/>
      <c r="C127" s="3"/>
      <c r="D127" s="3"/>
      <c r="E127" s="3"/>
      <c r="F127" s="3"/>
      <c r="G127" s="3"/>
      <c r="H127" s="3"/>
      <c r="I127" s="3"/>
      <c r="J127" s="3"/>
      <c r="K127" s="3"/>
      <c r="L127" s="3"/>
      <c r="M127" s="3"/>
      <c r="N127" s="3"/>
      <c r="O127" s="3"/>
      <c r="P127" s="3"/>
    </row>
    <row r="128">
      <c r="A128" s="3"/>
      <c r="B128" s="3"/>
      <c r="C128" s="3"/>
      <c r="D128" s="3"/>
      <c r="E128" s="3"/>
      <c r="F128" s="3"/>
      <c r="G128" s="3"/>
      <c r="H128" s="3"/>
      <c r="I128" s="3"/>
      <c r="J128" s="3"/>
      <c r="K128" s="3"/>
      <c r="L128" s="3"/>
      <c r="M128" s="3"/>
      <c r="N128" s="3"/>
      <c r="O128" s="3"/>
      <c r="P128" s="3"/>
    </row>
    <row r="129">
      <c r="A129" s="3"/>
      <c r="B129" s="3"/>
      <c r="C129" s="3"/>
      <c r="D129" s="3"/>
      <c r="E129" s="3"/>
      <c r="F129" s="3"/>
      <c r="G129" s="3"/>
      <c r="H129" s="3"/>
      <c r="I129" s="3"/>
      <c r="J129" s="3"/>
      <c r="K129" s="3"/>
      <c r="L129" s="3"/>
      <c r="M129" s="3"/>
      <c r="N129" s="3"/>
      <c r="O129" s="3"/>
      <c r="P129" s="3"/>
    </row>
    <row r="130">
      <c r="A130" s="3"/>
      <c r="B130" s="3"/>
      <c r="C130" s="3"/>
      <c r="D130" s="3"/>
      <c r="E130" s="3"/>
      <c r="F130" s="3"/>
      <c r="G130" s="3"/>
      <c r="H130" s="3"/>
      <c r="I130" s="3"/>
      <c r="J130" s="3"/>
      <c r="K130" s="3"/>
      <c r="L130" s="3"/>
      <c r="M130" s="3"/>
      <c r="N130" s="3"/>
      <c r="O130" s="3"/>
      <c r="P130" s="3"/>
    </row>
    <row r="131">
      <c r="A131" s="3"/>
      <c r="B131" s="3"/>
      <c r="C131" s="3"/>
      <c r="D131" s="3"/>
      <c r="E131" s="3"/>
      <c r="F131" s="3"/>
      <c r="G131" s="3"/>
      <c r="H131" s="3"/>
      <c r="I131" s="3"/>
      <c r="J131" s="3"/>
      <c r="K131" s="3"/>
      <c r="L131" s="3"/>
      <c r="M131" s="3"/>
      <c r="N131" s="3"/>
      <c r="O131" s="3"/>
      <c r="P131" s="3"/>
    </row>
    <row r="132">
      <c r="A132" s="3"/>
      <c r="B132" s="3"/>
      <c r="C132" s="3"/>
      <c r="D132" s="3"/>
      <c r="E132" s="3"/>
      <c r="F132" s="3"/>
      <c r="G132" s="3"/>
      <c r="H132" s="3"/>
      <c r="I132" s="3"/>
      <c r="J132" s="3"/>
      <c r="K132" s="3"/>
      <c r="L132" s="3"/>
      <c r="M132" s="3"/>
      <c r="N132" s="3"/>
      <c r="O132" s="3"/>
      <c r="P132" s="3"/>
    </row>
    <row r="133">
      <c r="A133" s="3"/>
      <c r="B133" s="3"/>
      <c r="C133" s="3"/>
      <c r="D133" s="3"/>
      <c r="E133" s="3"/>
      <c r="F133" s="3"/>
      <c r="G133" s="3"/>
      <c r="H133" s="3"/>
      <c r="I133" s="3"/>
      <c r="J133" s="3"/>
      <c r="K133" s="3"/>
      <c r="L133" s="3"/>
      <c r="M133" s="3"/>
      <c r="N133" s="3"/>
      <c r="O133" s="3"/>
      <c r="P133" s="3"/>
    </row>
    <row r="134">
      <c r="A134" s="3"/>
      <c r="B134" s="3"/>
      <c r="C134" s="3"/>
      <c r="D134" s="3"/>
      <c r="E134" s="3"/>
      <c r="F134" s="3"/>
      <c r="G134" s="3"/>
      <c r="H134" s="3"/>
      <c r="I134" s="3"/>
      <c r="J134" s="3"/>
      <c r="K134" s="3"/>
      <c r="L134" s="3"/>
      <c r="M134" s="3"/>
      <c r="N134" s="3"/>
      <c r="O134" s="3"/>
      <c r="P134" s="3"/>
    </row>
    <row r="135">
      <c r="A135" s="3"/>
      <c r="B135" s="3"/>
      <c r="C135" s="3"/>
      <c r="D135" s="3"/>
      <c r="E135" s="3"/>
      <c r="F135" s="3"/>
      <c r="G135" s="3"/>
      <c r="H135" s="3"/>
      <c r="I135" s="3"/>
      <c r="J135" s="3"/>
      <c r="K135" s="3"/>
      <c r="L135" s="3"/>
      <c r="M135" s="3"/>
      <c r="N135" s="3"/>
      <c r="O135" s="3"/>
      <c r="P135" s="3"/>
    </row>
    <row r="136">
      <c r="A136" s="3"/>
      <c r="B136" s="3"/>
      <c r="C136" s="3"/>
      <c r="D136" s="3"/>
      <c r="E136" s="3"/>
      <c r="F136" s="3"/>
      <c r="G136" s="3"/>
      <c r="H136" s="3"/>
      <c r="I136" s="3"/>
      <c r="J136" s="3"/>
      <c r="K136" s="3"/>
      <c r="L136" s="3"/>
      <c r="M136" s="3"/>
      <c r="N136" s="3"/>
      <c r="O136" s="3"/>
      <c r="P136" s="3"/>
    </row>
    <row r="137">
      <c r="A137" s="3"/>
      <c r="B137" s="3"/>
      <c r="C137" s="3"/>
      <c r="D137" s="3"/>
      <c r="E137" s="3"/>
      <c r="F137" s="3"/>
      <c r="G137" s="3"/>
      <c r="H137" s="3"/>
      <c r="I137" s="3"/>
      <c r="J137" s="3"/>
      <c r="K137" s="3"/>
      <c r="L137" s="3"/>
      <c r="M137" s="3"/>
      <c r="N137" s="3"/>
      <c r="O137" s="3"/>
      <c r="P137" s="3"/>
    </row>
    <row r="138">
      <c r="A138" s="3"/>
      <c r="B138" s="3"/>
      <c r="C138" s="3"/>
      <c r="D138" s="3"/>
      <c r="E138" s="3"/>
      <c r="F138" s="3"/>
      <c r="G138" s="3"/>
      <c r="H138" s="3"/>
      <c r="I138" s="3"/>
      <c r="J138" s="3"/>
      <c r="K138" s="3"/>
      <c r="L138" s="3"/>
      <c r="M138" s="3"/>
      <c r="N138" s="3"/>
      <c r="O138" s="3"/>
      <c r="P138" s="3"/>
    </row>
    <row r="139">
      <c r="A139" s="3"/>
      <c r="B139" s="3"/>
      <c r="C139" s="3"/>
      <c r="D139" s="3"/>
      <c r="E139" s="3"/>
      <c r="F139" s="3"/>
      <c r="G139" s="3"/>
      <c r="H139" s="3"/>
      <c r="I139" s="3"/>
      <c r="J139" s="3"/>
      <c r="K139" s="3"/>
      <c r="L139" s="3"/>
      <c r="M139" s="3"/>
      <c r="N139" s="3"/>
      <c r="O139" s="3"/>
      <c r="P139" s="3"/>
    </row>
    <row r="140">
      <c r="A140" s="3"/>
      <c r="B140" s="3"/>
      <c r="C140" s="3"/>
      <c r="D140" s="3"/>
      <c r="E140" s="3"/>
      <c r="F140" s="3"/>
      <c r="G140" s="3"/>
      <c r="H140" s="3"/>
      <c r="I140" s="3"/>
      <c r="J140" s="3"/>
      <c r="K140" s="3"/>
      <c r="L140" s="3"/>
      <c r="M140" s="3"/>
      <c r="N140" s="3"/>
      <c r="O140" s="3"/>
      <c r="P140" s="3"/>
    </row>
    <row r="141">
      <c r="A141" s="3"/>
      <c r="B141" s="3"/>
      <c r="C141" s="3"/>
      <c r="D141" s="3"/>
      <c r="E141" s="3"/>
      <c r="F141" s="3"/>
      <c r="G141" s="3"/>
      <c r="H141" s="3"/>
      <c r="I141" s="3"/>
      <c r="J141" s="3"/>
      <c r="K141" s="3"/>
      <c r="L141" s="3"/>
      <c r="M141" s="3"/>
      <c r="N141" s="3"/>
      <c r="O141" s="3"/>
      <c r="P141" s="3"/>
    </row>
    <row r="142">
      <c r="A142" s="3"/>
      <c r="B142" s="3"/>
      <c r="C142" s="3"/>
      <c r="D142" s="3"/>
      <c r="E142" s="3"/>
      <c r="F142" s="3"/>
      <c r="G142" s="3"/>
      <c r="H142" s="3"/>
      <c r="I142" s="3"/>
      <c r="J142" s="3"/>
      <c r="K142" s="3"/>
      <c r="L142" s="3"/>
      <c r="M142" s="3"/>
      <c r="N142" s="3"/>
      <c r="O142" s="3"/>
      <c r="P142" s="3"/>
    </row>
    <row r="143">
      <c r="A143" s="3"/>
      <c r="B143" s="3"/>
      <c r="C143" s="3"/>
      <c r="D143" s="3"/>
      <c r="E143" s="3"/>
      <c r="F143" s="3"/>
      <c r="G143" s="3"/>
      <c r="H143" s="3"/>
      <c r="I143" s="3"/>
      <c r="J143" s="3"/>
      <c r="K143" s="3"/>
      <c r="L143" s="3"/>
      <c r="M143" s="3"/>
      <c r="N143" s="3"/>
      <c r="O143" s="3"/>
      <c r="P143" s="3"/>
    </row>
    <row r="144">
      <c r="A144" s="3"/>
      <c r="B144" s="3"/>
      <c r="C144" s="3"/>
      <c r="D144" s="3"/>
      <c r="E144" s="3"/>
      <c r="F144" s="3"/>
      <c r="G144" s="3"/>
      <c r="H144" s="3"/>
      <c r="I144" s="3"/>
      <c r="J144" s="3"/>
      <c r="K144" s="3"/>
      <c r="L144" s="3"/>
      <c r="M144" s="3"/>
      <c r="N144" s="3"/>
      <c r="O144" s="3"/>
      <c r="P144" s="3"/>
    </row>
    <row r="145">
      <c r="A145" s="3"/>
      <c r="B145" s="3"/>
      <c r="C145" s="3"/>
      <c r="D145" s="3"/>
      <c r="E145" s="3"/>
      <c r="F145" s="3"/>
      <c r="G145" s="3"/>
      <c r="H145" s="3"/>
      <c r="I145" s="3"/>
      <c r="J145" s="3"/>
      <c r="K145" s="3"/>
      <c r="L145" s="3"/>
      <c r="M145" s="3"/>
      <c r="N145" s="3"/>
      <c r="O145" s="3"/>
      <c r="P145" s="3"/>
    </row>
    <row r="146">
      <c r="A146" s="3"/>
      <c r="B146" s="3"/>
      <c r="C146" s="3"/>
      <c r="D146" s="3"/>
      <c r="E146" s="3"/>
      <c r="F146" s="3"/>
      <c r="G146" s="3"/>
      <c r="H146" s="3"/>
      <c r="I146" s="3"/>
      <c r="J146" s="3"/>
      <c r="K146" s="3"/>
      <c r="L146" s="3"/>
      <c r="M146" s="3"/>
      <c r="N146" s="3"/>
      <c r="O146" s="3"/>
      <c r="P146" s="3"/>
    </row>
    <row r="147">
      <c r="A147" s="3"/>
      <c r="B147" s="3"/>
      <c r="C147" s="3"/>
      <c r="D147" s="3"/>
      <c r="E147" s="3"/>
      <c r="F147" s="3"/>
      <c r="G147" s="3"/>
      <c r="H147" s="3"/>
      <c r="I147" s="3"/>
      <c r="J147" s="3"/>
      <c r="K147" s="3"/>
      <c r="L147" s="3"/>
      <c r="M147" s="3"/>
      <c r="N147" s="3"/>
      <c r="O147" s="3"/>
      <c r="P147" s="3"/>
    </row>
    <row r="148">
      <c r="A148" s="3"/>
      <c r="B148" s="3"/>
      <c r="C148" s="3"/>
      <c r="D148" s="3"/>
      <c r="E148" s="3"/>
      <c r="F148" s="3"/>
      <c r="G148" s="3"/>
      <c r="H148" s="3"/>
      <c r="I148" s="3"/>
      <c r="J148" s="3"/>
      <c r="K148" s="3"/>
      <c r="L148" s="3"/>
      <c r="M148" s="3"/>
      <c r="N148" s="3"/>
      <c r="O148" s="3"/>
      <c r="P148" s="3"/>
    </row>
    <row r="149">
      <c r="A149" s="3"/>
      <c r="B149" s="3"/>
      <c r="C149" s="3"/>
      <c r="D149" s="3"/>
      <c r="E149" s="3"/>
      <c r="F149" s="3"/>
      <c r="G149" s="3"/>
      <c r="H149" s="3"/>
      <c r="I149" s="3"/>
      <c r="J149" s="3"/>
      <c r="K149" s="3"/>
      <c r="L149" s="3"/>
      <c r="M149" s="3"/>
      <c r="N149" s="3"/>
      <c r="O149" s="3"/>
      <c r="P149" s="3"/>
    </row>
    <row r="150">
      <c r="A150" s="3"/>
      <c r="B150" s="3"/>
      <c r="C150" s="3"/>
      <c r="D150" s="3"/>
      <c r="E150" s="3"/>
      <c r="F150" s="3"/>
      <c r="G150" s="3"/>
      <c r="H150" s="3"/>
      <c r="I150" s="3"/>
      <c r="J150" s="3"/>
      <c r="K150" s="3"/>
      <c r="L150" s="3"/>
      <c r="M150" s="3"/>
      <c r="N150" s="3"/>
      <c r="O150" s="3"/>
      <c r="P150" s="3"/>
    </row>
    <row r="151">
      <c r="A151" s="3"/>
      <c r="B151" s="3"/>
      <c r="C151" s="3"/>
      <c r="D151" s="3"/>
      <c r="E151" s="3"/>
      <c r="F151" s="3"/>
      <c r="G151" s="3"/>
      <c r="H151" s="3"/>
      <c r="I151" s="3"/>
      <c r="J151" s="3"/>
      <c r="K151" s="3"/>
      <c r="L151" s="3"/>
      <c r="M151" s="3"/>
      <c r="N151" s="3"/>
      <c r="O151" s="3"/>
      <c r="P151" s="3"/>
    </row>
    <row r="152">
      <c r="A152" s="3"/>
      <c r="B152" s="3"/>
      <c r="C152" s="3"/>
      <c r="D152" s="3"/>
      <c r="E152" s="3"/>
      <c r="F152" s="3"/>
      <c r="G152" s="3"/>
      <c r="H152" s="3"/>
      <c r="I152" s="3"/>
      <c r="J152" s="3"/>
      <c r="K152" s="3"/>
      <c r="L152" s="3"/>
      <c r="M152" s="3"/>
      <c r="N152" s="3"/>
      <c r="O152" s="3"/>
      <c r="P152" s="3"/>
    </row>
    <row r="153">
      <c r="A153" s="3"/>
      <c r="B153" s="3"/>
      <c r="C153" s="3"/>
      <c r="D153" s="3"/>
      <c r="E153" s="3"/>
      <c r="F153" s="3"/>
      <c r="G153" s="3"/>
      <c r="H153" s="3"/>
      <c r="I153" s="3"/>
      <c r="J153" s="3"/>
      <c r="K153" s="3"/>
      <c r="L153" s="3"/>
      <c r="M153" s="3"/>
      <c r="N153" s="3"/>
      <c r="O153" s="3"/>
      <c r="P153" s="3"/>
    </row>
    <row r="154">
      <c r="A154" s="3"/>
      <c r="B154" s="3"/>
      <c r="C154" s="3"/>
      <c r="D154" s="3"/>
      <c r="E154" s="3"/>
      <c r="F154" s="3"/>
      <c r="G154" s="3"/>
      <c r="H154" s="3"/>
      <c r="I154" s="3"/>
      <c r="J154" s="3"/>
      <c r="K154" s="3"/>
      <c r="L154" s="3"/>
      <c r="M154" s="3"/>
      <c r="N154" s="3"/>
      <c r="O154" s="3"/>
      <c r="P154" s="3"/>
    </row>
    <row r="155">
      <c r="A155" s="3"/>
      <c r="B155" s="3"/>
      <c r="C155" s="3"/>
      <c r="D155" s="3"/>
      <c r="E155" s="3"/>
      <c r="F155" s="3"/>
      <c r="G155" s="3"/>
      <c r="H155" s="3"/>
      <c r="I155" s="3"/>
      <c r="J155" s="3"/>
      <c r="K155" s="3"/>
      <c r="L155" s="3"/>
      <c r="M155" s="3"/>
      <c r="N155" s="3"/>
      <c r="O155" s="3"/>
      <c r="P155" s="3"/>
    </row>
    <row r="156">
      <c r="A156" s="3"/>
      <c r="B156" s="3"/>
      <c r="C156" s="3"/>
      <c r="D156" s="3"/>
      <c r="E156" s="3"/>
      <c r="F156" s="3"/>
      <c r="G156" s="3"/>
      <c r="H156" s="3"/>
      <c r="I156" s="3"/>
      <c r="J156" s="3"/>
      <c r="K156" s="3"/>
      <c r="L156" s="3"/>
      <c r="M156" s="3"/>
      <c r="N156" s="3"/>
      <c r="O156" s="3"/>
      <c r="P156" s="3"/>
    </row>
    <row r="157">
      <c r="A157" s="3"/>
      <c r="B157" s="3"/>
      <c r="C157" s="3"/>
      <c r="D157" s="3"/>
      <c r="E157" s="3"/>
      <c r="F157" s="3"/>
      <c r="G157" s="3"/>
      <c r="H157" s="3"/>
      <c r="I157" s="3"/>
      <c r="J157" s="3"/>
      <c r="K157" s="3"/>
      <c r="L157" s="3"/>
      <c r="M157" s="3"/>
      <c r="N157" s="3"/>
      <c r="O157" s="3"/>
      <c r="P157" s="3"/>
    </row>
    <row r="158">
      <c r="A158" s="3"/>
      <c r="B158" s="3"/>
      <c r="C158" s="3"/>
      <c r="D158" s="3"/>
      <c r="E158" s="3"/>
      <c r="F158" s="3"/>
      <c r="G158" s="3"/>
      <c r="H158" s="3"/>
      <c r="I158" s="3"/>
      <c r="J158" s="3"/>
      <c r="K158" s="3"/>
      <c r="L158" s="3"/>
      <c r="M158" s="3"/>
      <c r="N158" s="3"/>
      <c r="O158" s="3"/>
      <c r="P158" s="3"/>
    </row>
    <row r="159">
      <c r="A159" s="3"/>
      <c r="B159" s="3"/>
      <c r="C159" s="3"/>
      <c r="D159" s="3"/>
      <c r="E159" s="3"/>
      <c r="F159" s="3"/>
      <c r="G159" s="3"/>
      <c r="H159" s="3"/>
      <c r="I159" s="3"/>
      <c r="J159" s="3"/>
      <c r="K159" s="3"/>
      <c r="L159" s="3"/>
      <c r="M159" s="3"/>
      <c r="N159" s="3"/>
      <c r="O159" s="3"/>
      <c r="P159" s="3"/>
    </row>
    <row r="160">
      <c r="A160" s="3"/>
      <c r="B160" s="3"/>
      <c r="C160" s="3"/>
      <c r="D160" s="3"/>
      <c r="E160" s="3"/>
      <c r="F160" s="3"/>
      <c r="G160" s="3"/>
      <c r="H160" s="3"/>
      <c r="I160" s="3"/>
      <c r="J160" s="3"/>
      <c r="K160" s="3"/>
      <c r="L160" s="3"/>
      <c r="M160" s="3"/>
      <c r="N160" s="3"/>
      <c r="O160" s="3"/>
      <c r="P160" s="3"/>
    </row>
    <row r="161">
      <c r="A161" s="3"/>
      <c r="B161" s="3"/>
      <c r="C161" s="3"/>
      <c r="D161" s="3"/>
      <c r="E161" s="3"/>
      <c r="F161" s="3"/>
      <c r="G161" s="3"/>
      <c r="H161" s="3"/>
      <c r="I161" s="3"/>
      <c r="J161" s="3"/>
      <c r="K161" s="3"/>
      <c r="L161" s="3"/>
      <c r="M161" s="3"/>
      <c r="N161" s="3"/>
      <c r="O161" s="3"/>
      <c r="P161" s="3"/>
    </row>
    <row r="162">
      <c r="A162" s="3"/>
      <c r="B162" s="3"/>
      <c r="C162" s="3"/>
      <c r="D162" s="3"/>
      <c r="E162" s="3"/>
      <c r="F162" s="3"/>
      <c r="G162" s="3"/>
      <c r="H162" s="3"/>
      <c r="I162" s="3"/>
      <c r="J162" s="3"/>
      <c r="K162" s="3"/>
      <c r="L162" s="3"/>
      <c r="M162" s="3"/>
      <c r="N162" s="3"/>
      <c r="O162" s="3"/>
      <c r="P162" s="3"/>
    </row>
    <row r="163">
      <c r="A163" s="3"/>
      <c r="B163" s="3"/>
      <c r="C163" s="3"/>
      <c r="D163" s="3"/>
      <c r="E163" s="3"/>
      <c r="F163" s="3"/>
      <c r="G163" s="3"/>
      <c r="H163" s="3"/>
      <c r="I163" s="3"/>
      <c r="J163" s="3"/>
      <c r="K163" s="3"/>
      <c r="L163" s="3"/>
      <c r="M163" s="3"/>
      <c r="N163" s="3"/>
      <c r="O163" s="3"/>
      <c r="P163" s="3"/>
    </row>
    <row r="164">
      <c r="A164" s="3"/>
      <c r="B164" s="3"/>
      <c r="C164" s="3"/>
      <c r="D164" s="3"/>
      <c r="E164" s="3"/>
      <c r="F164" s="3"/>
      <c r="G164" s="3"/>
      <c r="H164" s="3"/>
      <c r="I164" s="3"/>
      <c r="J164" s="3"/>
      <c r="K164" s="3"/>
      <c r="L164" s="3"/>
      <c r="M164" s="3"/>
      <c r="N164" s="3"/>
      <c r="O164" s="3"/>
      <c r="P164" s="3"/>
    </row>
    <row r="165">
      <c r="A165" s="3"/>
      <c r="B165" s="3"/>
      <c r="C165" s="3"/>
      <c r="D165" s="3"/>
      <c r="E165" s="3"/>
      <c r="F165" s="3"/>
      <c r="G165" s="3"/>
      <c r="H165" s="3"/>
      <c r="I165" s="3"/>
      <c r="J165" s="3"/>
      <c r="K165" s="3"/>
      <c r="L165" s="3"/>
      <c r="M165" s="3"/>
      <c r="N165" s="3"/>
      <c r="O165" s="3"/>
      <c r="P165" s="3"/>
    </row>
    <row r="166">
      <c r="A166" s="3"/>
      <c r="B166" s="3"/>
      <c r="C166" s="3"/>
      <c r="D166" s="3"/>
      <c r="E166" s="3"/>
      <c r="F166" s="3"/>
      <c r="G166" s="3"/>
      <c r="H166" s="3"/>
      <c r="I166" s="3"/>
      <c r="J166" s="3"/>
      <c r="K166" s="3"/>
      <c r="L166" s="3"/>
      <c r="M166" s="3"/>
      <c r="N166" s="3"/>
      <c r="O166" s="3"/>
      <c r="P166" s="3"/>
    </row>
    <row r="167">
      <c r="A167" s="3"/>
      <c r="B167" s="3"/>
      <c r="C167" s="3"/>
      <c r="D167" s="3"/>
      <c r="E167" s="3"/>
      <c r="F167" s="3"/>
      <c r="G167" s="3"/>
      <c r="H167" s="3"/>
      <c r="I167" s="3"/>
      <c r="J167" s="3"/>
      <c r="K167" s="3"/>
      <c r="L167" s="3"/>
      <c r="M167" s="3"/>
      <c r="N167" s="3"/>
      <c r="O167" s="3"/>
      <c r="P167" s="3"/>
    </row>
    <row r="168">
      <c r="A168" s="3"/>
      <c r="B168" s="3"/>
      <c r="C168" s="3"/>
      <c r="D168" s="3"/>
      <c r="E168" s="3"/>
      <c r="F168" s="3"/>
      <c r="G168" s="3"/>
      <c r="H168" s="3"/>
      <c r="I168" s="3"/>
      <c r="J168" s="3"/>
      <c r="K168" s="3"/>
      <c r="L168" s="3"/>
      <c r="M168" s="3"/>
      <c r="N168" s="3"/>
      <c r="O168" s="3"/>
      <c r="P168" s="3"/>
    </row>
    <row r="169">
      <c r="A169" s="3"/>
      <c r="B169" s="3"/>
      <c r="C169" s="3"/>
      <c r="D169" s="3"/>
      <c r="E169" s="3"/>
      <c r="F169" s="3"/>
      <c r="G169" s="3"/>
      <c r="H169" s="3"/>
      <c r="I169" s="3"/>
      <c r="J169" s="3"/>
      <c r="K169" s="3"/>
      <c r="L169" s="3"/>
      <c r="M169" s="3"/>
      <c r="N169" s="3"/>
      <c r="O169" s="3"/>
      <c r="P169" s="3"/>
    </row>
    <row r="170">
      <c r="A170" s="3"/>
      <c r="B170" s="3"/>
      <c r="C170" s="3"/>
      <c r="D170" s="3"/>
      <c r="E170" s="3"/>
      <c r="F170" s="3"/>
      <c r="G170" s="3"/>
      <c r="H170" s="3"/>
      <c r="I170" s="3"/>
      <c r="J170" s="3"/>
      <c r="K170" s="3"/>
      <c r="L170" s="3"/>
      <c r="M170" s="3"/>
      <c r="N170" s="3"/>
      <c r="O170" s="3"/>
      <c r="P170" s="3"/>
    </row>
    <row r="171">
      <c r="A171" s="3"/>
      <c r="B171" s="3"/>
      <c r="C171" s="3"/>
      <c r="D171" s="3"/>
      <c r="E171" s="3"/>
      <c r="F171" s="3"/>
      <c r="G171" s="3"/>
      <c r="H171" s="3"/>
      <c r="I171" s="3"/>
      <c r="J171" s="3"/>
      <c r="K171" s="3"/>
      <c r="L171" s="3"/>
      <c r="M171" s="3"/>
      <c r="N171" s="3"/>
      <c r="O171" s="3"/>
      <c r="P171" s="3"/>
    </row>
    <row r="172">
      <c r="A172" s="3"/>
      <c r="B172" s="3"/>
      <c r="C172" s="3"/>
      <c r="D172" s="3"/>
      <c r="E172" s="3"/>
      <c r="F172" s="3"/>
      <c r="G172" s="3"/>
      <c r="H172" s="3"/>
      <c r="I172" s="3"/>
      <c r="J172" s="3"/>
      <c r="K172" s="3"/>
      <c r="L172" s="3"/>
      <c r="M172" s="3"/>
      <c r="N172" s="3"/>
      <c r="O172" s="3"/>
      <c r="P172" s="3"/>
    </row>
    <row r="173">
      <c r="A173" s="3"/>
      <c r="B173" s="3"/>
      <c r="C173" s="3"/>
      <c r="D173" s="3"/>
      <c r="E173" s="3"/>
      <c r="F173" s="3"/>
      <c r="G173" s="3"/>
      <c r="H173" s="3"/>
      <c r="I173" s="3"/>
      <c r="J173" s="3"/>
      <c r="K173" s="3"/>
      <c r="L173" s="3"/>
      <c r="M173" s="3"/>
      <c r="N173" s="3"/>
      <c r="O173" s="3"/>
      <c r="P173" s="3"/>
    </row>
    <row r="174">
      <c r="A174" s="3"/>
      <c r="B174" s="3"/>
      <c r="C174" s="3"/>
      <c r="D174" s="3"/>
      <c r="E174" s="3"/>
      <c r="F174" s="3"/>
      <c r="G174" s="3"/>
      <c r="H174" s="3"/>
      <c r="I174" s="3"/>
      <c r="J174" s="3"/>
      <c r="K174" s="3"/>
      <c r="L174" s="3"/>
      <c r="M174" s="3"/>
      <c r="N174" s="3"/>
      <c r="O174" s="3"/>
      <c r="P174" s="3"/>
    </row>
    <row r="175">
      <c r="A175" s="3"/>
      <c r="B175" s="3"/>
      <c r="C175" s="3"/>
      <c r="D175" s="3"/>
      <c r="E175" s="3"/>
      <c r="F175" s="3"/>
      <c r="G175" s="3"/>
      <c r="H175" s="3"/>
      <c r="I175" s="3"/>
      <c r="J175" s="3"/>
      <c r="K175" s="3"/>
      <c r="L175" s="3"/>
      <c r="M175" s="3"/>
      <c r="N175" s="3"/>
      <c r="O175" s="3"/>
      <c r="P175" s="3"/>
    </row>
    <row r="176">
      <c r="A176" s="3"/>
      <c r="B176" s="3"/>
      <c r="C176" s="3"/>
      <c r="D176" s="3"/>
      <c r="E176" s="3"/>
      <c r="F176" s="3"/>
      <c r="G176" s="3"/>
      <c r="H176" s="3"/>
      <c r="I176" s="3"/>
      <c r="J176" s="3"/>
      <c r="K176" s="3"/>
      <c r="L176" s="3"/>
      <c r="M176" s="3"/>
      <c r="N176" s="3"/>
      <c r="O176" s="3"/>
      <c r="P176" s="3"/>
    </row>
    <row r="177">
      <c r="A177" s="3"/>
      <c r="B177" s="3"/>
      <c r="C177" s="3"/>
      <c r="D177" s="3"/>
      <c r="E177" s="3"/>
      <c r="F177" s="3"/>
      <c r="G177" s="3"/>
      <c r="H177" s="3"/>
      <c r="I177" s="3"/>
      <c r="J177" s="3"/>
      <c r="K177" s="3"/>
      <c r="L177" s="3"/>
      <c r="M177" s="3"/>
      <c r="N177" s="3"/>
      <c r="O177" s="3"/>
      <c r="P177" s="3"/>
    </row>
    <row r="178">
      <c r="A178" s="3"/>
      <c r="B178" s="3"/>
      <c r="C178" s="3"/>
      <c r="D178" s="3"/>
      <c r="E178" s="3"/>
      <c r="F178" s="3"/>
      <c r="G178" s="3"/>
      <c r="H178" s="3"/>
      <c r="I178" s="3"/>
      <c r="J178" s="3"/>
      <c r="K178" s="3"/>
      <c r="L178" s="3"/>
      <c r="M178" s="3"/>
      <c r="N178" s="3"/>
      <c r="O178" s="3"/>
      <c r="P178" s="3"/>
    </row>
    <row r="179">
      <c r="A179" s="3"/>
      <c r="B179" s="3"/>
      <c r="C179" s="3"/>
      <c r="D179" s="3"/>
      <c r="E179" s="3"/>
      <c r="F179" s="3"/>
      <c r="G179" s="3"/>
      <c r="H179" s="3"/>
      <c r="I179" s="3"/>
      <c r="J179" s="3"/>
      <c r="K179" s="3"/>
      <c r="L179" s="3"/>
      <c r="M179" s="3"/>
      <c r="N179" s="3"/>
      <c r="O179" s="3"/>
      <c r="P179" s="3"/>
    </row>
    <row r="180">
      <c r="A180" s="3"/>
      <c r="B180" s="3"/>
      <c r="C180" s="3"/>
      <c r="D180" s="3"/>
      <c r="E180" s="3"/>
      <c r="F180" s="3"/>
      <c r="G180" s="3"/>
      <c r="H180" s="3"/>
      <c r="I180" s="3"/>
      <c r="J180" s="3"/>
      <c r="K180" s="3"/>
      <c r="L180" s="3"/>
      <c r="M180" s="3"/>
      <c r="N180" s="3"/>
      <c r="O180" s="3"/>
      <c r="P180" s="3"/>
    </row>
    <row r="181">
      <c r="A181" s="3"/>
      <c r="B181" s="3"/>
      <c r="C181" s="3"/>
      <c r="D181" s="3"/>
      <c r="E181" s="3"/>
      <c r="F181" s="3"/>
      <c r="G181" s="3"/>
      <c r="H181" s="3"/>
      <c r="I181" s="3"/>
      <c r="J181" s="3"/>
      <c r="K181" s="3"/>
      <c r="L181" s="3"/>
      <c r="M181" s="3"/>
      <c r="N181" s="3"/>
      <c r="O181" s="3"/>
      <c r="P181" s="3"/>
    </row>
    <row r="182">
      <c r="A182" s="3"/>
      <c r="B182" s="3"/>
      <c r="C182" s="3"/>
      <c r="D182" s="3"/>
      <c r="E182" s="3"/>
      <c r="F182" s="3"/>
      <c r="G182" s="3"/>
      <c r="H182" s="3"/>
      <c r="I182" s="3"/>
      <c r="J182" s="3"/>
      <c r="K182" s="3"/>
      <c r="L182" s="3"/>
      <c r="M182" s="3"/>
      <c r="N182" s="3"/>
      <c r="O182" s="3"/>
      <c r="P182" s="3"/>
    </row>
    <row r="183">
      <c r="A183" s="3"/>
      <c r="B183" s="3"/>
      <c r="C183" s="3"/>
      <c r="D183" s="3"/>
      <c r="E183" s="3"/>
      <c r="F183" s="3"/>
      <c r="G183" s="3"/>
      <c r="H183" s="3"/>
      <c r="I183" s="3"/>
      <c r="J183" s="3"/>
      <c r="K183" s="3"/>
      <c r="L183" s="3"/>
      <c r="M183" s="3"/>
      <c r="N183" s="3"/>
      <c r="O183" s="3"/>
      <c r="P183" s="3"/>
    </row>
    <row r="184">
      <c r="A184" s="3"/>
      <c r="B184" s="3"/>
      <c r="C184" s="3"/>
      <c r="D184" s="3"/>
      <c r="E184" s="3"/>
      <c r="F184" s="3"/>
      <c r="G184" s="3"/>
      <c r="H184" s="3"/>
      <c r="I184" s="3"/>
      <c r="J184" s="3"/>
      <c r="K184" s="3"/>
      <c r="L184" s="3"/>
      <c r="M184" s="3"/>
      <c r="N184" s="3"/>
      <c r="O184" s="3"/>
      <c r="P184" s="3"/>
    </row>
    <row r="185">
      <c r="A185" s="3"/>
      <c r="B185" s="3"/>
      <c r="C185" s="3"/>
      <c r="D185" s="3"/>
      <c r="E185" s="3"/>
      <c r="F185" s="3"/>
      <c r="G185" s="3"/>
      <c r="H185" s="3"/>
      <c r="I185" s="3"/>
      <c r="J185" s="3"/>
      <c r="K185" s="3"/>
      <c r="L185" s="3"/>
      <c r="M185" s="3"/>
      <c r="N185" s="3"/>
      <c r="O185" s="3"/>
      <c r="P185" s="3"/>
    </row>
    <row r="186">
      <c r="A186" s="3"/>
      <c r="B186" s="3"/>
      <c r="C186" s="3"/>
      <c r="D186" s="3"/>
      <c r="E186" s="3"/>
      <c r="F186" s="3"/>
      <c r="G186" s="3"/>
      <c r="H186" s="3"/>
      <c r="I186" s="3"/>
      <c r="J186" s="3"/>
      <c r="K186" s="3"/>
      <c r="L186" s="3"/>
      <c r="M186" s="3"/>
      <c r="N186" s="3"/>
      <c r="O186" s="3"/>
      <c r="P186" s="3"/>
    </row>
    <row r="187">
      <c r="A187" s="3"/>
      <c r="B187" s="3"/>
      <c r="C187" s="3"/>
      <c r="D187" s="3"/>
      <c r="E187" s="3"/>
      <c r="F187" s="3"/>
      <c r="G187" s="3"/>
      <c r="H187" s="3"/>
      <c r="I187" s="3"/>
      <c r="J187" s="3"/>
      <c r="K187" s="3"/>
      <c r="L187" s="3"/>
      <c r="M187" s="3"/>
      <c r="N187" s="3"/>
      <c r="O187" s="3"/>
      <c r="P187" s="3"/>
    </row>
    <row r="188">
      <c r="A188" s="3"/>
      <c r="B188" s="3"/>
      <c r="C188" s="3"/>
      <c r="D188" s="3"/>
      <c r="E188" s="3"/>
      <c r="F188" s="3"/>
      <c r="G188" s="3"/>
      <c r="H188" s="3"/>
      <c r="I188" s="3"/>
      <c r="J188" s="3"/>
      <c r="K188" s="3"/>
      <c r="L188" s="3"/>
      <c r="M188" s="3"/>
      <c r="N188" s="3"/>
      <c r="O188" s="3"/>
      <c r="P188" s="3"/>
    </row>
    <row r="189">
      <c r="A189" s="3"/>
      <c r="B189" s="3"/>
      <c r="C189" s="3"/>
      <c r="D189" s="3"/>
      <c r="E189" s="3"/>
      <c r="F189" s="3"/>
      <c r="G189" s="3"/>
      <c r="H189" s="3"/>
      <c r="I189" s="3"/>
      <c r="J189" s="3"/>
      <c r="K189" s="3"/>
      <c r="L189" s="3"/>
      <c r="M189" s="3"/>
      <c r="N189" s="3"/>
      <c r="O189" s="3"/>
      <c r="P189" s="3"/>
    </row>
    <row r="190">
      <c r="A190" s="3"/>
      <c r="B190" s="3"/>
      <c r="C190" s="3"/>
      <c r="D190" s="3"/>
      <c r="E190" s="3"/>
      <c r="F190" s="3"/>
      <c r="G190" s="3"/>
      <c r="H190" s="3"/>
      <c r="I190" s="3"/>
      <c r="J190" s="3"/>
      <c r="K190" s="3"/>
      <c r="L190" s="3"/>
      <c r="M190" s="3"/>
      <c r="N190" s="3"/>
      <c r="O190" s="3"/>
      <c r="P190" s="3"/>
    </row>
    <row r="191">
      <c r="A191" s="3"/>
      <c r="B191" s="3"/>
      <c r="C191" s="3"/>
      <c r="D191" s="3"/>
      <c r="E191" s="3"/>
      <c r="F191" s="3"/>
      <c r="G191" s="3"/>
      <c r="H191" s="3"/>
      <c r="I191" s="3"/>
      <c r="J191" s="3"/>
      <c r="K191" s="3"/>
      <c r="L191" s="3"/>
      <c r="M191" s="3"/>
      <c r="N191" s="3"/>
      <c r="O191" s="3"/>
      <c r="P191" s="3"/>
    </row>
    <row r="192">
      <c r="A192" s="3"/>
      <c r="B192" s="3"/>
      <c r="C192" s="3"/>
      <c r="D192" s="3"/>
      <c r="E192" s="3"/>
      <c r="F192" s="3"/>
      <c r="G192" s="3"/>
      <c r="H192" s="3"/>
      <c r="I192" s="3"/>
      <c r="J192" s="3"/>
      <c r="K192" s="3"/>
      <c r="L192" s="3"/>
      <c r="M192" s="3"/>
      <c r="N192" s="3"/>
      <c r="O192" s="3"/>
      <c r="P192" s="3"/>
    </row>
    <row r="193">
      <c r="A193" s="3"/>
      <c r="B193" s="3"/>
      <c r="C193" s="3"/>
      <c r="D193" s="3"/>
      <c r="E193" s="3"/>
      <c r="F193" s="3"/>
      <c r="G193" s="3"/>
      <c r="H193" s="3"/>
      <c r="I193" s="3"/>
      <c r="J193" s="3"/>
      <c r="K193" s="3"/>
      <c r="L193" s="3"/>
      <c r="M193" s="3"/>
      <c r="N193" s="3"/>
      <c r="O193" s="3"/>
      <c r="P193" s="3"/>
    </row>
    <row r="194">
      <c r="A194" s="3"/>
      <c r="B194" s="3"/>
      <c r="C194" s="3"/>
      <c r="D194" s="3"/>
      <c r="E194" s="3"/>
      <c r="F194" s="3"/>
      <c r="G194" s="3"/>
      <c r="H194" s="3"/>
      <c r="I194" s="3"/>
      <c r="J194" s="3"/>
      <c r="K194" s="3"/>
      <c r="L194" s="3"/>
      <c r="M194" s="3"/>
      <c r="N194" s="3"/>
      <c r="O194" s="3"/>
      <c r="P194" s="3"/>
    </row>
    <row r="195">
      <c r="A195" s="3"/>
      <c r="B195" s="3"/>
      <c r="C195" s="3"/>
      <c r="D195" s="3"/>
      <c r="E195" s="3"/>
      <c r="F195" s="3"/>
      <c r="G195" s="3"/>
      <c r="H195" s="3"/>
      <c r="I195" s="3"/>
      <c r="J195" s="3"/>
      <c r="K195" s="3"/>
      <c r="L195" s="3"/>
      <c r="M195" s="3"/>
      <c r="N195" s="3"/>
      <c r="O195" s="3"/>
      <c r="P195" s="3"/>
    </row>
    <row r="196">
      <c r="A196" s="3"/>
      <c r="B196" s="3"/>
      <c r="C196" s="3"/>
      <c r="D196" s="3"/>
      <c r="E196" s="3"/>
      <c r="F196" s="3"/>
      <c r="G196" s="3"/>
      <c r="H196" s="3"/>
      <c r="I196" s="3"/>
      <c r="J196" s="3"/>
      <c r="K196" s="3"/>
      <c r="L196" s="3"/>
      <c r="M196" s="3"/>
      <c r="N196" s="3"/>
      <c r="O196" s="3"/>
      <c r="P196" s="3"/>
    </row>
    <row r="197">
      <c r="A197" s="3"/>
      <c r="B197" s="3"/>
      <c r="C197" s="3"/>
      <c r="D197" s="3"/>
      <c r="E197" s="3"/>
      <c r="F197" s="3"/>
      <c r="G197" s="3"/>
      <c r="H197" s="3"/>
      <c r="I197" s="3"/>
      <c r="J197" s="3"/>
      <c r="K197" s="3"/>
      <c r="L197" s="3"/>
      <c r="M197" s="3"/>
      <c r="N197" s="3"/>
      <c r="O197" s="3"/>
      <c r="P197" s="3"/>
    </row>
    <row r="198">
      <c r="A198" s="3"/>
      <c r="B198" s="3"/>
      <c r="C198" s="3"/>
      <c r="D198" s="3"/>
      <c r="E198" s="3"/>
      <c r="F198" s="3"/>
      <c r="G198" s="3"/>
      <c r="H198" s="3"/>
      <c r="I198" s="3"/>
      <c r="J198" s="3"/>
      <c r="K198" s="3"/>
      <c r="L198" s="3"/>
      <c r="M198" s="3"/>
      <c r="N198" s="3"/>
      <c r="O198" s="3"/>
      <c r="P198" s="3"/>
    </row>
    <row r="199">
      <c r="A199" s="3"/>
      <c r="B199" s="3"/>
      <c r="C199" s="3"/>
      <c r="D199" s="3"/>
      <c r="E199" s="3"/>
      <c r="F199" s="3"/>
      <c r="G199" s="3"/>
      <c r="H199" s="3"/>
      <c r="I199" s="3"/>
      <c r="J199" s="3"/>
      <c r="K199" s="3"/>
      <c r="L199" s="3"/>
      <c r="M199" s="3"/>
      <c r="N199" s="3"/>
      <c r="O199" s="3"/>
      <c r="P199" s="3"/>
    </row>
    <row r="200">
      <c r="A200" s="3"/>
      <c r="B200" s="3"/>
      <c r="C200" s="3"/>
      <c r="D200" s="3"/>
      <c r="E200" s="3"/>
      <c r="F200" s="3"/>
      <c r="G200" s="3"/>
      <c r="H200" s="3"/>
      <c r="I200" s="3"/>
      <c r="J200" s="3"/>
      <c r="K200" s="3"/>
      <c r="L200" s="3"/>
      <c r="M200" s="3"/>
      <c r="N200" s="3"/>
      <c r="O200" s="3"/>
      <c r="P200" s="3"/>
    </row>
    <row r="201">
      <c r="A201" s="3"/>
      <c r="B201" s="3"/>
      <c r="C201" s="3"/>
      <c r="D201" s="3"/>
      <c r="E201" s="3"/>
      <c r="F201" s="3"/>
      <c r="G201" s="3"/>
      <c r="H201" s="3"/>
      <c r="I201" s="3"/>
      <c r="J201" s="3"/>
      <c r="K201" s="3"/>
      <c r="L201" s="3"/>
      <c r="M201" s="3"/>
      <c r="N201" s="3"/>
      <c r="O201" s="3"/>
      <c r="P201" s="3"/>
    </row>
    <row r="202">
      <c r="A202" s="3"/>
      <c r="B202" s="3"/>
      <c r="C202" s="3"/>
      <c r="D202" s="3"/>
      <c r="E202" s="3"/>
      <c r="F202" s="3"/>
      <c r="G202" s="3"/>
      <c r="H202" s="3"/>
      <c r="I202" s="3"/>
      <c r="J202" s="3"/>
      <c r="K202" s="3"/>
      <c r="L202" s="3"/>
      <c r="M202" s="3"/>
      <c r="N202" s="3"/>
      <c r="O202" s="3"/>
      <c r="P202" s="3"/>
    </row>
    <row r="203">
      <c r="A203" s="3"/>
      <c r="B203" s="3"/>
      <c r="C203" s="3"/>
      <c r="D203" s="3"/>
      <c r="E203" s="3"/>
      <c r="F203" s="3"/>
      <c r="G203" s="3"/>
      <c r="H203" s="3"/>
      <c r="I203" s="3"/>
      <c r="J203" s="3"/>
      <c r="K203" s="3"/>
      <c r="L203" s="3"/>
      <c r="M203" s="3"/>
      <c r="N203" s="3"/>
      <c r="O203" s="3"/>
      <c r="P203" s="3"/>
    </row>
    <row r="204">
      <c r="A204" s="3"/>
      <c r="B204" s="3"/>
      <c r="C204" s="3"/>
      <c r="D204" s="3"/>
      <c r="E204" s="3"/>
      <c r="F204" s="3"/>
      <c r="G204" s="3"/>
      <c r="H204" s="3"/>
      <c r="I204" s="3"/>
      <c r="J204" s="3"/>
      <c r="K204" s="3"/>
      <c r="L204" s="3"/>
      <c r="M204" s="3"/>
      <c r="N204" s="3"/>
      <c r="O204" s="3"/>
      <c r="P204" s="3"/>
    </row>
    <row r="205">
      <c r="A205" s="3"/>
      <c r="B205" s="3"/>
      <c r="C205" s="3"/>
      <c r="D205" s="3"/>
      <c r="E205" s="3"/>
      <c r="F205" s="3"/>
      <c r="G205" s="3"/>
      <c r="H205" s="3"/>
      <c r="I205" s="3"/>
      <c r="J205" s="3"/>
      <c r="K205" s="3"/>
      <c r="L205" s="3"/>
      <c r="M205" s="3"/>
      <c r="N205" s="3"/>
      <c r="O205" s="3"/>
      <c r="P205" s="3"/>
    </row>
    <row r="206">
      <c r="A206" s="3"/>
      <c r="B206" s="3"/>
      <c r="C206" s="3"/>
      <c r="D206" s="3"/>
      <c r="E206" s="3"/>
      <c r="F206" s="3"/>
      <c r="G206" s="3"/>
      <c r="H206" s="3"/>
      <c r="I206" s="3"/>
      <c r="J206" s="3"/>
      <c r="K206" s="3"/>
      <c r="L206" s="3"/>
      <c r="M206" s="3"/>
      <c r="N206" s="3"/>
      <c r="O206" s="3"/>
      <c r="P206" s="3"/>
    </row>
    <row r="207">
      <c r="A207" s="3"/>
      <c r="B207" s="3"/>
      <c r="C207" s="3"/>
      <c r="D207" s="3"/>
      <c r="E207" s="3"/>
      <c r="F207" s="3"/>
      <c r="G207" s="3"/>
      <c r="H207" s="3"/>
      <c r="I207" s="3"/>
      <c r="J207" s="3"/>
      <c r="K207" s="3"/>
      <c r="L207" s="3"/>
      <c r="M207" s="3"/>
      <c r="N207" s="3"/>
      <c r="O207" s="3"/>
      <c r="P207" s="3"/>
    </row>
    <row r="208">
      <c r="A208" s="3"/>
      <c r="B208" s="3"/>
      <c r="C208" s="3"/>
      <c r="D208" s="3"/>
      <c r="E208" s="3"/>
      <c r="F208" s="3"/>
      <c r="G208" s="3"/>
      <c r="H208" s="3"/>
      <c r="I208" s="3"/>
      <c r="J208" s="3"/>
      <c r="K208" s="3"/>
      <c r="L208" s="3"/>
      <c r="M208" s="3"/>
      <c r="N208" s="3"/>
      <c r="O208" s="3"/>
      <c r="P208" s="3"/>
    </row>
    <row r="209">
      <c r="A209" s="3"/>
      <c r="B209" s="3"/>
      <c r="C209" s="3"/>
      <c r="D209" s="3"/>
      <c r="E209" s="3"/>
      <c r="F209" s="3"/>
      <c r="G209" s="3"/>
      <c r="H209" s="3"/>
      <c r="I209" s="3"/>
      <c r="J209" s="3"/>
      <c r="K209" s="3"/>
      <c r="L209" s="3"/>
      <c r="M209" s="3"/>
      <c r="N209" s="3"/>
      <c r="O209" s="3"/>
      <c r="P209" s="3"/>
    </row>
    <row r="210">
      <c r="A210" s="3"/>
      <c r="B210" s="3"/>
      <c r="C210" s="3"/>
      <c r="D210" s="3"/>
      <c r="E210" s="3"/>
      <c r="F210" s="3"/>
      <c r="G210" s="3"/>
      <c r="H210" s="3"/>
      <c r="I210" s="3"/>
      <c r="J210" s="3"/>
      <c r="K210" s="3"/>
      <c r="L210" s="3"/>
      <c r="M210" s="3"/>
      <c r="N210" s="3"/>
      <c r="O210" s="3"/>
      <c r="P210" s="3"/>
    </row>
    <row r="211">
      <c r="A211" s="3"/>
      <c r="B211" s="3"/>
      <c r="C211" s="3"/>
      <c r="D211" s="3"/>
      <c r="E211" s="3"/>
      <c r="F211" s="3"/>
      <c r="G211" s="3"/>
      <c r="H211" s="3"/>
      <c r="I211" s="3"/>
      <c r="J211" s="3"/>
      <c r="K211" s="3"/>
      <c r="L211" s="3"/>
      <c r="M211" s="3"/>
      <c r="N211" s="3"/>
      <c r="O211" s="3"/>
      <c r="P211" s="3"/>
    </row>
    <row r="212">
      <c r="A212" s="3"/>
      <c r="B212" s="3"/>
      <c r="C212" s="3"/>
      <c r="D212" s="3"/>
      <c r="E212" s="3"/>
      <c r="F212" s="3"/>
      <c r="G212" s="3"/>
      <c r="H212" s="3"/>
      <c r="I212" s="3"/>
      <c r="J212" s="3"/>
      <c r="K212" s="3"/>
      <c r="L212" s="3"/>
      <c r="M212" s="3"/>
      <c r="N212" s="3"/>
      <c r="O212" s="3"/>
      <c r="P212" s="3"/>
    </row>
    <row r="213">
      <c r="A213" s="3"/>
      <c r="B213" s="3"/>
      <c r="C213" s="3"/>
      <c r="D213" s="3"/>
      <c r="E213" s="3"/>
      <c r="F213" s="3"/>
      <c r="G213" s="3"/>
      <c r="H213" s="3"/>
      <c r="I213" s="3"/>
      <c r="J213" s="3"/>
      <c r="K213" s="3"/>
      <c r="L213" s="3"/>
      <c r="M213" s="3"/>
      <c r="N213" s="3"/>
      <c r="O213" s="3"/>
      <c r="P213" s="3"/>
    </row>
    <row r="214">
      <c r="A214" s="3"/>
      <c r="B214" s="3"/>
      <c r="C214" s="3"/>
      <c r="D214" s="3"/>
      <c r="E214" s="3"/>
      <c r="F214" s="3"/>
      <c r="G214" s="3"/>
      <c r="H214" s="3"/>
      <c r="I214" s="3"/>
      <c r="J214" s="3"/>
      <c r="K214" s="3"/>
      <c r="L214" s="3"/>
      <c r="M214" s="3"/>
      <c r="N214" s="3"/>
      <c r="O214" s="3"/>
      <c r="P214" s="3"/>
    </row>
    <row r="215">
      <c r="A215" s="3"/>
      <c r="B215" s="3"/>
      <c r="C215" s="3"/>
      <c r="D215" s="3"/>
      <c r="E215" s="3"/>
      <c r="F215" s="3"/>
      <c r="G215" s="3"/>
      <c r="H215" s="3"/>
      <c r="I215" s="3"/>
      <c r="J215" s="3"/>
      <c r="K215" s="3"/>
      <c r="L215" s="3"/>
      <c r="M215" s="3"/>
      <c r="N215" s="3"/>
      <c r="O215" s="3"/>
      <c r="P215" s="3"/>
    </row>
    <row r="216">
      <c r="A216" s="3"/>
      <c r="B216" s="3"/>
      <c r="C216" s="3"/>
      <c r="D216" s="3"/>
      <c r="E216" s="3"/>
      <c r="F216" s="3"/>
      <c r="G216" s="3"/>
      <c r="H216" s="3"/>
      <c r="I216" s="3"/>
      <c r="J216" s="3"/>
      <c r="K216" s="3"/>
      <c r="L216" s="3"/>
      <c r="M216" s="3"/>
      <c r="N216" s="3"/>
      <c r="O216" s="3"/>
      <c r="P216" s="3"/>
    </row>
    <row r="217">
      <c r="A217" s="3"/>
      <c r="B217" s="3"/>
      <c r="C217" s="3"/>
      <c r="D217" s="3"/>
      <c r="E217" s="3"/>
      <c r="F217" s="3"/>
      <c r="G217" s="3"/>
      <c r="H217" s="3"/>
      <c r="I217" s="3"/>
      <c r="J217" s="3"/>
      <c r="K217" s="3"/>
      <c r="L217" s="3"/>
      <c r="M217" s="3"/>
      <c r="N217" s="3"/>
      <c r="O217" s="3"/>
      <c r="P217" s="3"/>
    </row>
    <row r="218">
      <c r="A218" s="3"/>
      <c r="B218" s="3"/>
      <c r="C218" s="3"/>
      <c r="D218" s="3"/>
      <c r="E218" s="3"/>
      <c r="F218" s="3"/>
      <c r="G218" s="3"/>
      <c r="H218" s="3"/>
      <c r="I218" s="3"/>
      <c r="J218" s="3"/>
      <c r="K218" s="3"/>
      <c r="L218" s="3"/>
      <c r="M218" s="3"/>
      <c r="N218" s="3"/>
      <c r="O218" s="3"/>
      <c r="P218" s="3"/>
    </row>
    <row r="219">
      <c r="A219" s="3"/>
      <c r="B219" s="3"/>
      <c r="C219" s="3"/>
      <c r="D219" s="3"/>
      <c r="E219" s="3"/>
      <c r="F219" s="3"/>
      <c r="G219" s="3"/>
      <c r="H219" s="3"/>
      <c r="I219" s="3"/>
      <c r="J219" s="3"/>
      <c r="K219" s="3"/>
      <c r="L219" s="3"/>
      <c r="M219" s="3"/>
      <c r="N219" s="3"/>
      <c r="O219" s="3"/>
      <c r="P219" s="3"/>
    </row>
    <row r="220">
      <c r="A220" s="3"/>
      <c r="B220" s="3"/>
      <c r="C220" s="3"/>
      <c r="D220" s="3"/>
      <c r="E220" s="3"/>
      <c r="F220" s="3"/>
      <c r="G220" s="3"/>
      <c r="H220" s="3"/>
      <c r="I220" s="3"/>
      <c r="J220" s="3"/>
      <c r="K220" s="3"/>
      <c r="L220" s="3"/>
      <c r="M220" s="3"/>
      <c r="N220" s="3"/>
      <c r="O220" s="3"/>
      <c r="P220" s="3"/>
    </row>
    <row r="221">
      <c r="A221" s="3"/>
      <c r="B221" s="3"/>
      <c r="C221" s="3"/>
      <c r="D221" s="3"/>
      <c r="E221" s="3"/>
      <c r="F221" s="3"/>
      <c r="G221" s="3"/>
      <c r="H221" s="3"/>
      <c r="I221" s="3"/>
      <c r="J221" s="3"/>
      <c r="K221" s="3"/>
      <c r="L221" s="3"/>
      <c r="M221" s="3"/>
      <c r="N221" s="3"/>
      <c r="O221" s="3"/>
      <c r="P221" s="3"/>
    </row>
    <row r="222">
      <c r="A222" s="3"/>
      <c r="B222" s="3"/>
      <c r="C222" s="3"/>
      <c r="D222" s="3"/>
      <c r="E222" s="3"/>
      <c r="F222" s="3"/>
      <c r="G222" s="3"/>
      <c r="H222" s="3"/>
      <c r="I222" s="3"/>
      <c r="J222" s="3"/>
      <c r="K222" s="3"/>
      <c r="L222" s="3"/>
      <c r="M222" s="3"/>
      <c r="N222" s="3"/>
      <c r="O222" s="3"/>
      <c r="P222" s="3"/>
    </row>
    <row r="223">
      <c r="A223" s="3"/>
      <c r="B223" s="3"/>
      <c r="C223" s="3"/>
      <c r="D223" s="3"/>
      <c r="E223" s="3"/>
      <c r="F223" s="3"/>
      <c r="G223" s="3"/>
      <c r="H223" s="3"/>
      <c r="I223" s="3"/>
      <c r="J223" s="3"/>
      <c r="K223" s="3"/>
      <c r="L223" s="3"/>
      <c r="M223" s="3"/>
      <c r="N223" s="3"/>
      <c r="O223" s="3"/>
      <c r="P223" s="3"/>
    </row>
    <row r="224">
      <c r="A224" s="3"/>
      <c r="B224" s="3"/>
      <c r="C224" s="3"/>
      <c r="D224" s="3"/>
      <c r="E224" s="3"/>
      <c r="F224" s="3"/>
      <c r="G224" s="3"/>
      <c r="H224" s="3"/>
      <c r="I224" s="3"/>
      <c r="J224" s="3"/>
      <c r="K224" s="3"/>
      <c r="L224" s="3"/>
      <c r="M224" s="3"/>
      <c r="N224" s="3"/>
      <c r="O224" s="3"/>
      <c r="P224" s="3"/>
    </row>
    <row r="225">
      <c r="A225" s="3"/>
      <c r="B225" s="3"/>
      <c r="C225" s="3"/>
      <c r="D225" s="3"/>
      <c r="E225" s="3"/>
      <c r="F225" s="3"/>
      <c r="G225" s="3"/>
      <c r="H225" s="3"/>
      <c r="I225" s="3"/>
      <c r="J225" s="3"/>
      <c r="K225" s="3"/>
      <c r="L225" s="3"/>
      <c r="M225" s="3"/>
      <c r="N225" s="3"/>
      <c r="O225" s="3"/>
      <c r="P225" s="3"/>
    </row>
    <row r="226">
      <c r="A226" s="3"/>
      <c r="B226" s="3"/>
      <c r="C226" s="3"/>
      <c r="D226" s="3"/>
      <c r="E226" s="3"/>
      <c r="F226" s="3"/>
      <c r="G226" s="3"/>
      <c r="H226" s="3"/>
      <c r="I226" s="3"/>
      <c r="J226" s="3"/>
      <c r="K226" s="3"/>
      <c r="L226" s="3"/>
      <c r="M226" s="3"/>
      <c r="N226" s="3"/>
      <c r="O226" s="3"/>
      <c r="P226" s="3"/>
    </row>
    <row r="227">
      <c r="A227" s="3"/>
      <c r="B227" s="3"/>
      <c r="C227" s="3"/>
      <c r="D227" s="3"/>
      <c r="E227" s="3"/>
      <c r="F227" s="3"/>
      <c r="G227" s="3"/>
      <c r="H227" s="3"/>
      <c r="I227" s="3"/>
      <c r="J227" s="3"/>
      <c r="K227" s="3"/>
      <c r="L227" s="3"/>
      <c r="M227" s="3"/>
      <c r="N227" s="3"/>
      <c r="O227" s="3"/>
      <c r="P227" s="3"/>
    </row>
    <row r="228">
      <c r="A228" s="3"/>
      <c r="B228" s="3"/>
      <c r="C228" s="3"/>
      <c r="D228" s="3"/>
      <c r="E228" s="3"/>
      <c r="F228" s="3"/>
      <c r="G228" s="3"/>
      <c r="H228" s="3"/>
      <c r="I228" s="3"/>
      <c r="J228" s="3"/>
      <c r="K228" s="3"/>
      <c r="L228" s="3"/>
      <c r="M228" s="3"/>
      <c r="N228" s="3"/>
      <c r="O228" s="3"/>
      <c r="P228" s="3"/>
    </row>
    <row r="229">
      <c r="A229" s="3"/>
      <c r="B229" s="3"/>
      <c r="C229" s="3"/>
      <c r="D229" s="3"/>
      <c r="E229" s="3"/>
      <c r="F229" s="3"/>
      <c r="G229" s="3"/>
      <c r="H229" s="3"/>
      <c r="I229" s="3"/>
      <c r="J229" s="3"/>
      <c r="K229" s="3"/>
      <c r="L229" s="3"/>
      <c r="M229" s="3"/>
      <c r="N229" s="3"/>
      <c r="O229" s="3"/>
      <c r="P229" s="3"/>
    </row>
    <row r="230">
      <c r="A230" s="3"/>
      <c r="B230" s="3"/>
      <c r="C230" s="3"/>
      <c r="D230" s="3"/>
      <c r="E230" s="3"/>
      <c r="F230" s="3"/>
      <c r="G230" s="3"/>
      <c r="H230" s="3"/>
      <c r="I230" s="3"/>
      <c r="J230" s="3"/>
      <c r="K230" s="3"/>
      <c r="L230" s="3"/>
      <c r="M230" s="3"/>
      <c r="N230" s="3"/>
      <c r="O230" s="3"/>
      <c r="P230" s="3"/>
    </row>
    <row r="231">
      <c r="A231" s="3"/>
      <c r="B231" s="3"/>
      <c r="C231" s="3"/>
      <c r="D231" s="3"/>
      <c r="E231" s="3"/>
      <c r="F231" s="3"/>
      <c r="G231" s="3"/>
      <c r="H231" s="3"/>
      <c r="I231" s="3"/>
      <c r="J231" s="3"/>
      <c r="K231" s="3"/>
      <c r="L231" s="3"/>
      <c r="M231" s="3"/>
      <c r="N231" s="3"/>
      <c r="O231" s="3"/>
      <c r="P231" s="3"/>
    </row>
    <row r="232">
      <c r="A232" s="3"/>
      <c r="B232" s="3"/>
      <c r="C232" s="3"/>
      <c r="D232" s="3"/>
      <c r="E232" s="3"/>
      <c r="F232" s="3"/>
      <c r="G232" s="3"/>
      <c r="H232" s="3"/>
      <c r="I232" s="3"/>
      <c r="J232" s="3"/>
      <c r="K232" s="3"/>
      <c r="L232" s="3"/>
      <c r="M232" s="3"/>
      <c r="N232" s="3"/>
      <c r="O232" s="3"/>
      <c r="P232" s="3"/>
    </row>
    <row r="233">
      <c r="A233" s="3"/>
      <c r="B233" s="3"/>
      <c r="C233" s="3"/>
      <c r="D233" s="3"/>
      <c r="E233" s="3"/>
      <c r="F233" s="3"/>
      <c r="G233" s="3"/>
      <c r="H233" s="3"/>
      <c r="I233" s="3"/>
      <c r="J233" s="3"/>
      <c r="K233" s="3"/>
      <c r="L233" s="3"/>
      <c r="M233" s="3"/>
      <c r="N233" s="3"/>
      <c r="O233" s="3"/>
      <c r="P233" s="3"/>
    </row>
    <row r="234">
      <c r="A234" s="3"/>
      <c r="B234" s="3"/>
      <c r="C234" s="3"/>
      <c r="D234" s="3"/>
      <c r="E234" s="3"/>
      <c r="F234" s="3"/>
      <c r="G234" s="3"/>
      <c r="H234" s="3"/>
      <c r="I234" s="3"/>
      <c r="J234" s="3"/>
      <c r="K234" s="3"/>
      <c r="L234" s="3"/>
      <c r="M234" s="3"/>
      <c r="N234" s="3"/>
      <c r="O234" s="3"/>
      <c r="P234" s="3"/>
    </row>
    <row r="235">
      <c r="A235" s="3"/>
      <c r="B235" s="3"/>
      <c r="C235" s="3"/>
      <c r="D235" s="3"/>
      <c r="E235" s="3"/>
      <c r="F235" s="3"/>
      <c r="G235" s="3"/>
      <c r="H235" s="3"/>
      <c r="I235" s="3"/>
      <c r="J235" s="3"/>
      <c r="K235" s="3"/>
      <c r="L235" s="3"/>
      <c r="M235" s="3"/>
      <c r="N235" s="3"/>
      <c r="O235" s="3"/>
      <c r="P235" s="3"/>
    </row>
    <row r="236">
      <c r="A236" s="3"/>
      <c r="B236" s="3"/>
      <c r="C236" s="3"/>
      <c r="D236" s="3"/>
      <c r="E236" s="3"/>
      <c r="F236" s="3"/>
      <c r="G236" s="3"/>
      <c r="H236" s="3"/>
      <c r="I236" s="3"/>
      <c r="J236" s="3"/>
      <c r="K236" s="3"/>
      <c r="L236" s="3"/>
      <c r="M236" s="3"/>
      <c r="N236" s="3"/>
      <c r="O236" s="3"/>
      <c r="P236" s="3"/>
    </row>
    <row r="237">
      <c r="A237" s="3"/>
      <c r="B237" s="3"/>
      <c r="C237" s="3"/>
      <c r="D237" s="3"/>
      <c r="E237" s="3"/>
      <c r="F237" s="3"/>
      <c r="G237" s="3"/>
      <c r="H237" s="3"/>
      <c r="I237" s="3"/>
      <c r="J237" s="3"/>
      <c r="K237" s="3"/>
      <c r="L237" s="3"/>
      <c r="M237" s="3"/>
      <c r="N237" s="3"/>
      <c r="O237" s="3"/>
      <c r="P237" s="3"/>
    </row>
    <row r="238">
      <c r="A238" s="3"/>
      <c r="B238" s="3"/>
      <c r="C238" s="3"/>
      <c r="D238" s="3"/>
      <c r="E238" s="3"/>
      <c r="F238" s="3"/>
      <c r="G238" s="3"/>
      <c r="H238" s="3"/>
      <c r="I238" s="3"/>
      <c r="J238" s="3"/>
      <c r="K238" s="3"/>
      <c r="L238" s="3"/>
      <c r="M238" s="3"/>
      <c r="N238" s="3"/>
      <c r="O238" s="3"/>
      <c r="P238" s="3"/>
    </row>
    <row r="239">
      <c r="A239" s="3"/>
      <c r="B239" s="3"/>
      <c r="C239" s="3"/>
      <c r="D239" s="3"/>
      <c r="E239" s="3"/>
      <c r="F239" s="3"/>
      <c r="G239" s="3"/>
      <c r="H239" s="3"/>
      <c r="I239" s="3"/>
      <c r="J239" s="3"/>
      <c r="K239" s="3"/>
      <c r="L239" s="3"/>
      <c r="M239" s="3"/>
      <c r="N239" s="3"/>
      <c r="O239" s="3"/>
      <c r="P239" s="3"/>
    </row>
    <row r="240">
      <c r="A240" s="3"/>
      <c r="B240" s="3"/>
      <c r="C240" s="3"/>
      <c r="D240" s="3"/>
      <c r="E240" s="3"/>
      <c r="F240" s="3"/>
      <c r="G240" s="3"/>
      <c r="H240" s="3"/>
      <c r="I240" s="3"/>
      <c r="J240" s="3"/>
      <c r="K240" s="3"/>
      <c r="L240" s="3"/>
      <c r="M240" s="3"/>
      <c r="N240" s="3"/>
      <c r="O240" s="3"/>
      <c r="P240" s="3"/>
    </row>
    <row r="241">
      <c r="A241" s="3"/>
      <c r="B241" s="3"/>
      <c r="C241" s="3"/>
      <c r="D241" s="3"/>
      <c r="E241" s="3"/>
      <c r="F241" s="3"/>
      <c r="G241" s="3"/>
      <c r="H241" s="3"/>
      <c r="I241" s="3"/>
      <c r="J241" s="3"/>
      <c r="K241" s="3"/>
      <c r="L241" s="3"/>
      <c r="M241" s="3"/>
      <c r="N241" s="3"/>
      <c r="O241" s="3"/>
      <c r="P241" s="3"/>
    </row>
    <row r="242">
      <c r="A242" s="3"/>
      <c r="B242" s="3"/>
      <c r="C242" s="3"/>
      <c r="D242" s="3"/>
      <c r="E242" s="3"/>
      <c r="F242" s="3"/>
      <c r="G242" s="3"/>
      <c r="H242" s="3"/>
      <c r="I242" s="3"/>
      <c r="J242" s="3"/>
      <c r="K242" s="3"/>
      <c r="L242" s="3"/>
      <c r="M242" s="3"/>
      <c r="N242" s="3"/>
      <c r="O242" s="3"/>
      <c r="P242" s="3"/>
    </row>
    <row r="243">
      <c r="A243" s="3"/>
      <c r="B243" s="3"/>
      <c r="C243" s="3"/>
      <c r="D243" s="3"/>
      <c r="E243" s="3"/>
      <c r="F243" s="3"/>
      <c r="G243" s="3"/>
      <c r="H243" s="3"/>
      <c r="I243" s="3"/>
      <c r="J243" s="3"/>
      <c r="K243" s="3"/>
      <c r="L243" s="3"/>
      <c r="M243" s="3"/>
      <c r="N243" s="3"/>
      <c r="O243" s="3"/>
      <c r="P243" s="3"/>
    </row>
    <row r="244">
      <c r="A244" s="3"/>
      <c r="B244" s="3"/>
      <c r="C244" s="3"/>
      <c r="D244" s="3"/>
      <c r="E244" s="3"/>
      <c r="F244" s="3"/>
      <c r="G244" s="3"/>
      <c r="H244" s="3"/>
      <c r="I244" s="3"/>
      <c r="J244" s="3"/>
      <c r="K244" s="3"/>
      <c r="L244" s="3"/>
      <c r="M244" s="3"/>
      <c r="N244" s="3"/>
      <c r="O244" s="3"/>
      <c r="P244" s="3"/>
    </row>
    <row r="245">
      <c r="A245" s="3"/>
      <c r="B245" s="3"/>
      <c r="C245" s="3"/>
      <c r="D245" s="3"/>
      <c r="E245" s="3"/>
      <c r="F245" s="3"/>
      <c r="G245" s="3"/>
      <c r="H245" s="3"/>
      <c r="I245" s="3"/>
      <c r="J245" s="3"/>
      <c r="K245" s="3"/>
      <c r="L245" s="3"/>
      <c r="M245" s="3"/>
      <c r="N245" s="3"/>
      <c r="O245" s="3"/>
      <c r="P245" s="3"/>
    </row>
    <row r="246">
      <c r="A246" s="3"/>
      <c r="B246" s="3"/>
      <c r="C246" s="3"/>
      <c r="D246" s="3"/>
      <c r="E246" s="3"/>
      <c r="F246" s="3"/>
      <c r="G246" s="3"/>
      <c r="H246" s="3"/>
      <c r="I246" s="3"/>
      <c r="J246" s="3"/>
      <c r="K246" s="3"/>
      <c r="L246" s="3"/>
      <c r="M246" s="3"/>
      <c r="N246" s="3"/>
      <c r="O246" s="3"/>
      <c r="P246" s="3"/>
    </row>
    <row r="247">
      <c r="A247" s="3"/>
      <c r="B247" s="3"/>
      <c r="C247" s="3"/>
      <c r="D247" s="3"/>
      <c r="E247" s="3"/>
      <c r="F247" s="3"/>
      <c r="G247" s="3"/>
      <c r="H247" s="3"/>
      <c r="I247" s="3"/>
      <c r="J247" s="3"/>
      <c r="K247" s="3"/>
      <c r="L247" s="3"/>
      <c r="M247" s="3"/>
      <c r="N247" s="3"/>
      <c r="O247" s="3"/>
      <c r="P247" s="3"/>
    </row>
    <row r="248">
      <c r="A248" s="3"/>
      <c r="B248" s="3"/>
      <c r="C248" s="3"/>
      <c r="D248" s="3"/>
      <c r="E248" s="3"/>
      <c r="F248" s="3"/>
      <c r="G248" s="3"/>
      <c r="H248" s="3"/>
      <c r="I248" s="3"/>
      <c r="J248" s="3"/>
      <c r="K248" s="3"/>
      <c r="L248" s="3"/>
      <c r="M248" s="3"/>
      <c r="N248" s="3"/>
      <c r="O248" s="3"/>
      <c r="P248" s="3"/>
    </row>
    <row r="249">
      <c r="A249" s="3"/>
      <c r="B249" s="3"/>
      <c r="C249" s="3"/>
      <c r="D249" s="3"/>
      <c r="E249" s="3"/>
      <c r="F249" s="3"/>
      <c r="G249" s="3"/>
      <c r="H249" s="3"/>
      <c r="I249" s="3"/>
      <c r="J249" s="3"/>
      <c r="K249" s="3"/>
      <c r="L249" s="3"/>
      <c r="M249" s="3"/>
      <c r="N249" s="3"/>
      <c r="O249" s="3"/>
      <c r="P249" s="3"/>
    </row>
    <row r="250">
      <c r="A250" s="3"/>
      <c r="B250" s="3"/>
      <c r="C250" s="3"/>
      <c r="D250" s="3"/>
      <c r="E250" s="3"/>
      <c r="F250" s="3"/>
      <c r="G250" s="3"/>
      <c r="H250" s="3"/>
      <c r="I250" s="3"/>
      <c r="J250" s="3"/>
      <c r="K250" s="3"/>
      <c r="L250" s="3"/>
      <c r="M250" s="3"/>
      <c r="N250" s="3"/>
      <c r="O250" s="3"/>
      <c r="P250" s="3"/>
    </row>
    <row r="251">
      <c r="A251" s="3"/>
      <c r="B251" s="3"/>
      <c r="C251" s="3"/>
      <c r="D251" s="3"/>
      <c r="E251" s="3"/>
      <c r="F251" s="3"/>
      <c r="G251" s="3"/>
      <c r="H251" s="3"/>
      <c r="I251" s="3"/>
      <c r="J251" s="3"/>
      <c r="K251" s="3"/>
      <c r="L251" s="3"/>
      <c r="M251" s="3"/>
      <c r="N251" s="3"/>
      <c r="O251" s="3"/>
      <c r="P251" s="3"/>
    </row>
    <row r="252">
      <c r="A252" s="3"/>
      <c r="B252" s="3"/>
      <c r="C252" s="3"/>
      <c r="D252" s="3"/>
      <c r="E252" s="3"/>
      <c r="F252" s="3"/>
      <c r="G252" s="3"/>
      <c r="H252" s="3"/>
      <c r="I252" s="3"/>
      <c r="J252" s="3"/>
      <c r="K252" s="3"/>
      <c r="L252" s="3"/>
      <c r="M252" s="3"/>
      <c r="N252" s="3"/>
      <c r="O252" s="3"/>
      <c r="P252" s="3"/>
    </row>
    <row r="253">
      <c r="A253" s="3"/>
      <c r="B253" s="3"/>
      <c r="C253" s="3"/>
      <c r="D253" s="3"/>
      <c r="E253" s="3"/>
      <c r="F253" s="3"/>
      <c r="G253" s="3"/>
      <c r="H253" s="3"/>
      <c r="I253" s="3"/>
      <c r="J253" s="3"/>
      <c r="K253" s="3"/>
      <c r="L253" s="3"/>
      <c r="M253" s="3"/>
      <c r="N253" s="3"/>
      <c r="O253" s="3"/>
      <c r="P253" s="3"/>
    </row>
    <row r="254">
      <c r="A254" s="3"/>
      <c r="B254" s="3"/>
      <c r="C254" s="3"/>
      <c r="D254" s="3"/>
      <c r="E254" s="3"/>
      <c r="F254" s="3"/>
      <c r="G254" s="3"/>
      <c r="H254" s="3"/>
      <c r="I254" s="3"/>
      <c r="J254" s="3"/>
      <c r="K254" s="3"/>
      <c r="L254" s="3"/>
      <c r="M254" s="3"/>
      <c r="N254" s="3"/>
      <c r="O254" s="3"/>
      <c r="P254" s="3"/>
    </row>
    <row r="255">
      <c r="A255" s="3"/>
      <c r="B255" s="3"/>
      <c r="C255" s="3"/>
      <c r="D255" s="3"/>
      <c r="E255" s="3"/>
      <c r="F255" s="3"/>
      <c r="G255" s="3"/>
      <c r="H255" s="3"/>
      <c r="I255" s="3"/>
      <c r="J255" s="3"/>
      <c r="K255" s="3"/>
      <c r="L255" s="3"/>
      <c r="M255" s="3"/>
      <c r="N255" s="3"/>
      <c r="O255" s="3"/>
      <c r="P255" s="3"/>
    </row>
    <row r="256">
      <c r="A256" s="3"/>
      <c r="B256" s="3"/>
      <c r="C256" s="3"/>
      <c r="D256" s="3"/>
      <c r="E256" s="3"/>
      <c r="F256" s="3"/>
      <c r="G256" s="3"/>
      <c r="H256" s="3"/>
      <c r="I256" s="3"/>
      <c r="J256" s="3"/>
      <c r="K256" s="3"/>
      <c r="L256" s="3"/>
      <c r="M256" s="3"/>
      <c r="N256" s="3"/>
      <c r="O256" s="3"/>
      <c r="P256" s="3"/>
    </row>
    <row r="257">
      <c r="A257" s="3"/>
      <c r="B257" s="3"/>
      <c r="C257" s="3"/>
      <c r="D257" s="3"/>
      <c r="E257" s="3"/>
      <c r="F257" s="3"/>
      <c r="G257" s="3"/>
      <c r="H257" s="3"/>
      <c r="I257" s="3"/>
      <c r="J257" s="3"/>
      <c r="K257" s="3"/>
      <c r="L257" s="3"/>
      <c r="M257" s="3"/>
      <c r="N257" s="3"/>
      <c r="O257" s="3"/>
      <c r="P257" s="3"/>
    </row>
    <row r="258">
      <c r="A258" s="3"/>
      <c r="B258" s="3"/>
      <c r="C258" s="3"/>
      <c r="D258" s="3"/>
      <c r="E258" s="3"/>
      <c r="F258" s="3"/>
      <c r="G258" s="3"/>
      <c r="H258" s="3"/>
      <c r="I258" s="3"/>
      <c r="J258" s="3"/>
      <c r="K258" s="3"/>
      <c r="L258" s="3"/>
      <c r="M258" s="3"/>
      <c r="N258" s="3"/>
      <c r="O258" s="3"/>
      <c r="P258" s="3"/>
    </row>
    <row r="259">
      <c r="A259" s="3"/>
      <c r="B259" s="3"/>
      <c r="C259" s="3"/>
      <c r="D259" s="3"/>
      <c r="E259" s="3"/>
      <c r="F259" s="3"/>
      <c r="G259" s="3"/>
      <c r="H259" s="3"/>
      <c r="I259" s="3"/>
      <c r="J259" s="3"/>
      <c r="K259" s="3"/>
      <c r="L259" s="3"/>
      <c r="M259" s="3"/>
      <c r="N259" s="3"/>
      <c r="O259" s="3"/>
      <c r="P259" s="3"/>
    </row>
    <row r="260">
      <c r="A260" s="3"/>
      <c r="B260" s="3"/>
      <c r="C260" s="3"/>
      <c r="D260" s="3"/>
      <c r="E260" s="3"/>
      <c r="F260" s="3"/>
      <c r="G260" s="3"/>
      <c r="H260" s="3"/>
      <c r="I260" s="3"/>
      <c r="J260" s="3"/>
      <c r="K260" s="3"/>
      <c r="L260" s="3"/>
      <c r="M260" s="3"/>
      <c r="N260" s="3"/>
      <c r="O260" s="3"/>
      <c r="P260" s="3"/>
    </row>
    <row r="261">
      <c r="A261" s="3"/>
      <c r="B261" s="3"/>
      <c r="C261" s="3"/>
      <c r="D261" s="3"/>
      <c r="E261" s="3"/>
      <c r="F261" s="3"/>
      <c r="G261" s="3"/>
      <c r="H261" s="3"/>
      <c r="I261" s="3"/>
      <c r="J261" s="3"/>
      <c r="K261" s="3"/>
      <c r="L261" s="3"/>
      <c r="M261" s="3"/>
      <c r="N261" s="3"/>
      <c r="O261" s="3"/>
      <c r="P261" s="3"/>
    </row>
    <row r="262">
      <c r="A262" s="3"/>
      <c r="B262" s="3"/>
      <c r="C262" s="3"/>
      <c r="D262" s="3"/>
      <c r="E262" s="3"/>
      <c r="F262" s="3"/>
      <c r="G262" s="3"/>
      <c r="H262" s="3"/>
      <c r="I262" s="3"/>
      <c r="J262" s="3"/>
      <c r="K262" s="3"/>
      <c r="L262" s="3"/>
      <c r="M262" s="3"/>
      <c r="N262" s="3"/>
      <c r="O262" s="3"/>
      <c r="P262" s="3"/>
    </row>
    <row r="263">
      <c r="A263" s="3"/>
      <c r="B263" s="3"/>
      <c r="C263" s="3"/>
      <c r="D263" s="3"/>
      <c r="E263" s="3"/>
      <c r="F263" s="3"/>
      <c r="G263" s="3"/>
      <c r="H263" s="3"/>
      <c r="I263" s="3"/>
      <c r="J263" s="3"/>
      <c r="K263" s="3"/>
      <c r="L263" s="3"/>
      <c r="M263" s="3"/>
      <c r="N263" s="3"/>
      <c r="O263" s="3"/>
      <c r="P263" s="3"/>
    </row>
    <row r="264">
      <c r="A264" s="3"/>
      <c r="B264" s="3"/>
      <c r="C264" s="3"/>
      <c r="D264" s="3"/>
      <c r="E264" s="3"/>
      <c r="F264" s="3"/>
      <c r="G264" s="3"/>
      <c r="H264" s="3"/>
      <c r="I264" s="3"/>
      <c r="J264" s="3"/>
      <c r="K264" s="3"/>
      <c r="L264" s="3"/>
      <c r="M264" s="3"/>
      <c r="N264" s="3"/>
      <c r="O264" s="3"/>
      <c r="P264" s="3"/>
    </row>
    <row r="265">
      <c r="A265" s="3"/>
      <c r="B265" s="3"/>
      <c r="C265" s="3"/>
      <c r="D265" s="3"/>
      <c r="E265" s="3"/>
      <c r="F265" s="3"/>
      <c r="G265" s="3"/>
      <c r="H265" s="3"/>
      <c r="I265" s="3"/>
      <c r="J265" s="3"/>
      <c r="K265" s="3"/>
      <c r="L265" s="3"/>
      <c r="M265" s="3"/>
      <c r="N265" s="3"/>
      <c r="O265" s="3"/>
      <c r="P265" s="3"/>
    </row>
    <row r="266">
      <c r="A266" s="3"/>
      <c r="B266" s="3"/>
      <c r="C266" s="3"/>
      <c r="D266" s="3"/>
      <c r="E266" s="3"/>
      <c r="F266" s="3"/>
      <c r="G266" s="3"/>
      <c r="H266" s="3"/>
      <c r="I266" s="3"/>
      <c r="J266" s="3"/>
      <c r="K266" s="3"/>
      <c r="L266" s="3"/>
      <c r="M266" s="3"/>
      <c r="N266" s="3"/>
      <c r="O266" s="3"/>
      <c r="P266" s="3"/>
    </row>
    <row r="267">
      <c r="A267" s="3"/>
      <c r="B267" s="3"/>
      <c r="C267" s="3"/>
      <c r="D267" s="3"/>
      <c r="E267" s="3"/>
      <c r="F267" s="3"/>
      <c r="G267" s="3"/>
      <c r="H267" s="3"/>
      <c r="I267" s="3"/>
      <c r="J267" s="3"/>
      <c r="K267" s="3"/>
      <c r="L267" s="3"/>
      <c r="M267" s="3"/>
      <c r="N267" s="3"/>
      <c r="O267" s="3"/>
      <c r="P267" s="3"/>
    </row>
    <row r="268">
      <c r="A268" s="3"/>
      <c r="B268" s="3"/>
      <c r="C268" s="3"/>
      <c r="D268" s="3"/>
      <c r="E268" s="3"/>
      <c r="F268" s="3"/>
      <c r="G268" s="3"/>
      <c r="H268" s="3"/>
      <c r="I268" s="3"/>
      <c r="J268" s="3"/>
      <c r="K268" s="3"/>
      <c r="L268" s="3"/>
      <c r="M268" s="3"/>
      <c r="N268" s="3"/>
      <c r="O268" s="3"/>
      <c r="P268" s="3"/>
    </row>
    <row r="269">
      <c r="A269" s="3"/>
      <c r="B269" s="3"/>
      <c r="C269" s="3"/>
      <c r="D269" s="3"/>
      <c r="E269" s="3"/>
      <c r="F269" s="3"/>
      <c r="G269" s="3"/>
      <c r="H269" s="3"/>
      <c r="I269" s="3"/>
      <c r="J269" s="3"/>
      <c r="K269" s="3"/>
      <c r="L269" s="3"/>
      <c r="M269" s="3"/>
      <c r="N269" s="3"/>
      <c r="O269" s="3"/>
      <c r="P269" s="3"/>
    </row>
    <row r="270">
      <c r="A270" s="3"/>
      <c r="B270" s="3"/>
      <c r="C270" s="3"/>
      <c r="D270" s="3"/>
      <c r="E270" s="3"/>
      <c r="F270" s="3"/>
      <c r="G270" s="3"/>
      <c r="H270" s="3"/>
      <c r="I270" s="3"/>
      <c r="J270" s="3"/>
      <c r="K270" s="3"/>
      <c r="L270" s="3"/>
      <c r="M270" s="3"/>
      <c r="N270" s="3"/>
      <c r="O270" s="3"/>
      <c r="P270" s="3"/>
    </row>
    <row r="271">
      <c r="A271" s="3"/>
      <c r="B271" s="3"/>
      <c r="C271" s="3"/>
      <c r="D271" s="3"/>
      <c r="E271" s="3"/>
      <c r="F271" s="3"/>
      <c r="G271" s="3"/>
      <c r="H271" s="3"/>
      <c r="I271" s="3"/>
      <c r="J271" s="3"/>
      <c r="K271" s="3"/>
      <c r="L271" s="3"/>
      <c r="M271" s="3"/>
      <c r="N271" s="3"/>
      <c r="O271" s="3"/>
      <c r="P271" s="3"/>
    </row>
    <row r="272">
      <c r="A272" s="3"/>
      <c r="B272" s="3"/>
      <c r="C272" s="3"/>
      <c r="D272" s="3"/>
      <c r="E272" s="3"/>
      <c r="F272" s="3"/>
      <c r="G272" s="3"/>
      <c r="H272" s="3"/>
      <c r="I272" s="3"/>
      <c r="J272" s="3"/>
      <c r="K272" s="3"/>
      <c r="L272" s="3"/>
      <c r="M272" s="3"/>
      <c r="N272" s="3"/>
      <c r="O272" s="3"/>
      <c r="P272" s="3"/>
    </row>
    <row r="273">
      <c r="A273" s="3"/>
      <c r="B273" s="3"/>
      <c r="C273" s="3"/>
      <c r="D273" s="3"/>
      <c r="E273" s="3"/>
      <c r="F273" s="3"/>
      <c r="G273" s="3"/>
      <c r="H273" s="3"/>
      <c r="I273" s="3"/>
      <c r="J273" s="3"/>
      <c r="K273" s="3"/>
      <c r="L273" s="3"/>
      <c r="M273" s="3"/>
      <c r="N273" s="3"/>
      <c r="O273" s="3"/>
      <c r="P273" s="3"/>
    </row>
    <row r="274">
      <c r="A274" s="3"/>
      <c r="B274" s="3"/>
      <c r="C274" s="3"/>
      <c r="D274" s="3"/>
      <c r="E274" s="3"/>
      <c r="F274" s="3"/>
      <c r="G274" s="3"/>
      <c r="H274" s="3"/>
      <c r="I274" s="3"/>
      <c r="J274" s="3"/>
      <c r="K274" s="3"/>
      <c r="L274" s="3"/>
      <c r="M274" s="3"/>
      <c r="N274" s="3"/>
      <c r="O274" s="3"/>
      <c r="P274" s="3"/>
    </row>
    <row r="275">
      <c r="A275" s="3"/>
      <c r="B275" s="3"/>
      <c r="C275" s="3"/>
      <c r="D275" s="3"/>
      <c r="E275" s="3"/>
      <c r="F275" s="3"/>
      <c r="G275" s="3"/>
      <c r="H275" s="3"/>
      <c r="I275" s="3"/>
      <c r="J275" s="3"/>
      <c r="K275" s="3"/>
      <c r="L275" s="3"/>
      <c r="M275" s="3"/>
      <c r="N275" s="3"/>
      <c r="O275" s="3"/>
      <c r="P275" s="3"/>
    </row>
    <row r="276">
      <c r="A276" s="3"/>
      <c r="B276" s="3"/>
      <c r="C276" s="3"/>
      <c r="D276" s="3"/>
      <c r="E276" s="3"/>
      <c r="F276" s="3"/>
      <c r="G276" s="3"/>
      <c r="H276" s="3"/>
      <c r="I276" s="3"/>
      <c r="J276" s="3"/>
      <c r="K276" s="3"/>
      <c r="L276" s="3"/>
      <c r="M276" s="3"/>
      <c r="N276" s="3"/>
      <c r="O276" s="3"/>
      <c r="P276" s="3"/>
    </row>
    <row r="277">
      <c r="A277" s="3"/>
      <c r="B277" s="3"/>
      <c r="C277" s="3"/>
      <c r="D277" s="3"/>
      <c r="E277" s="3"/>
      <c r="F277" s="3"/>
      <c r="G277" s="3"/>
      <c r="H277" s="3"/>
      <c r="I277" s="3"/>
      <c r="J277" s="3"/>
      <c r="K277" s="3"/>
      <c r="L277" s="3"/>
      <c r="M277" s="3"/>
      <c r="N277" s="3"/>
      <c r="O277" s="3"/>
      <c r="P277" s="3"/>
    </row>
    <row r="278">
      <c r="A278" s="3"/>
      <c r="B278" s="3"/>
      <c r="C278" s="3"/>
      <c r="D278" s="3"/>
      <c r="E278" s="3"/>
      <c r="F278" s="3"/>
      <c r="G278" s="3"/>
      <c r="H278" s="3"/>
      <c r="I278" s="3"/>
      <c r="J278" s="3"/>
      <c r="K278" s="3"/>
      <c r="L278" s="3"/>
      <c r="M278" s="3"/>
      <c r="N278" s="3"/>
      <c r="O278" s="3"/>
      <c r="P278" s="3"/>
    </row>
    <row r="279">
      <c r="A279" s="3"/>
      <c r="B279" s="3"/>
      <c r="C279" s="3"/>
      <c r="D279" s="3"/>
      <c r="E279" s="3"/>
      <c r="F279" s="3"/>
      <c r="G279" s="3"/>
      <c r="H279" s="3"/>
      <c r="I279" s="3"/>
      <c r="J279" s="3"/>
      <c r="K279" s="3"/>
      <c r="L279" s="3"/>
      <c r="M279" s="3"/>
      <c r="N279" s="3"/>
      <c r="O279" s="3"/>
      <c r="P279" s="3"/>
    </row>
    <row r="280">
      <c r="A280" s="3"/>
      <c r="B280" s="3"/>
      <c r="C280" s="3"/>
      <c r="D280" s="3"/>
      <c r="E280" s="3"/>
      <c r="F280" s="3"/>
      <c r="G280" s="3"/>
      <c r="H280" s="3"/>
      <c r="I280" s="3"/>
      <c r="J280" s="3"/>
      <c r="K280" s="3"/>
      <c r="L280" s="3"/>
      <c r="M280" s="3"/>
      <c r="N280" s="3"/>
      <c r="O280" s="3"/>
      <c r="P280" s="3"/>
    </row>
    <row r="281">
      <c r="A281" s="3"/>
      <c r="B281" s="3"/>
      <c r="C281" s="3"/>
      <c r="D281" s="3"/>
      <c r="E281" s="3"/>
      <c r="F281" s="3"/>
      <c r="G281" s="3"/>
      <c r="H281" s="3"/>
      <c r="I281" s="3"/>
      <c r="J281" s="3"/>
      <c r="K281" s="3"/>
      <c r="L281" s="3"/>
      <c r="M281" s="3"/>
      <c r="N281" s="3"/>
      <c r="O281" s="3"/>
      <c r="P281" s="3"/>
    </row>
    <row r="282">
      <c r="A282" s="3"/>
      <c r="B282" s="3"/>
      <c r="C282" s="3"/>
      <c r="D282" s="3"/>
      <c r="E282" s="3"/>
      <c r="F282" s="3"/>
      <c r="G282" s="3"/>
      <c r="H282" s="3"/>
      <c r="I282" s="3"/>
      <c r="J282" s="3"/>
      <c r="K282" s="3"/>
      <c r="L282" s="3"/>
      <c r="M282" s="3"/>
      <c r="N282" s="3"/>
      <c r="O282" s="3"/>
      <c r="P282" s="3"/>
    </row>
    <row r="283">
      <c r="A283" s="3"/>
      <c r="B283" s="3"/>
      <c r="C283" s="3"/>
      <c r="D283" s="3"/>
      <c r="E283" s="3"/>
      <c r="F283" s="3"/>
      <c r="G283" s="3"/>
      <c r="H283" s="3"/>
      <c r="I283" s="3"/>
      <c r="J283" s="3"/>
      <c r="K283" s="3"/>
      <c r="L283" s="3"/>
      <c r="M283" s="3"/>
      <c r="N283" s="3"/>
      <c r="O283" s="3"/>
      <c r="P283" s="3"/>
    </row>
    <row r="284">
      <c r="A284" s="3"/>
      <c r="B284" s="3"/>
      <c r="C284" s="3"/>
      <c r="D284" s="3"/>
      <c r="E284" s="3"/>
      <c r="F284" s="3"/>
      <c r="G284" s="3"/>
      <c r="H284" s="3"/>
      <c r="I284" s="3"/>
      <c r="J284" s="3"/>
      <c r="K284" s="3"/>
      <c r="L284" s="3"/>
      <c r="M284" s="3"/>
      <c r="N284" s="3"/>
      <c r="O284" s="3"/>
      <c r="P284" s="3"/>
    </row>
    <row r="285">
      <c r="A285" s="3"/>
      <c r="B285" s="3"/>
      <c r="C285" s="3"/>
      <c r="D285" s="3"/>
      <c r="E285" s="3"/>
      <c r="F285" s="3"/>
      <c r="G285" s="3"/>
      <c r="H285" s="3"/>
      <c r="I285" s="3"/>
      <c r="J285" s="3"/>
      <c r="K285" s="3"/>
      <c r="L285" s="3"/>
      <c r="M285" s="3"/>
      <c r="N285" s="3"/>
      <c r="O285" s="3"/>
      <c r="P285" s="3"/>
    </row>
    <row r="286">
      <c r="A286" s="3"/>
      <c r="B286" s="3"/>
      <c r="C286" s="3"/>
      <c r="D286" s="3"/>
      <c r="E286" s="3"/>
      <c r="F286" s="3"/>
      <c r="G286" s="3"/>
      <c r="H286" s="3"/>
      <c r="I286" s="3"/>
      <c r="J286" s="3"/>
      <c r="K286" s="3"/>
      <c r="L286" s="3"/>
      <c r="M286" s="3"/>
      <c r="N286" s="3"/>
      <c r="O286" s="3"/>
      <c r="P286" s="3"/>
    </row>
    <row r="287">
      <c r="A287" s="3"/>
      <c r="B287" s="3"/>
      <c r="C287" s="3"/>
      <c r="D287" s="3"/>
      <c r="E287" s="3"/>
      <c r="F287" s="3"/>
      <c r="G287" s="3"/>
      <c r="H287" s="3"/>
      <c r="I287" s="3"/>
      <c r="J287" s="3"/>
      <c r="K287" s="3"/>
      <c r="L287" s="3"/>
      <c r="M287" s="3"/>
      <c r="N287" s="3"/>
      <c r="O287" s="3"/>
      <c r="P287" s="3"/>
    </row>
    <row r="288">
      <c r="A288" s="3"/>
      <c r="B288" s="3"/>
      <c r="C288" s="3"/>
      <c r="D288" s="3"/>
      <c r="E288" s="3"/>
      <c r="F288" s="3"/>
      <c r="G288" s="3"/>
      <c r="H288" s="3"/>
      <c r="I288" s="3"/>
      <c r="J288" s="3"/>
      <c r="K288" s="3"/>
      <c r="L288" s="3"/>
      <c r="M288" s="3"/>
      <c r="N288" s="3"/>
      <c r="O288" s="3"/>
      <c r="P288" s="3"/>
    </row>
    <row r="289">
      <c r="A289" s="3"/>
      <c r="B289" s="3"/>
      <c r="C289" s="3"/>
      <c r="D289" s="3"/>
      <c r="E289" s="3"/>
      <c r="F289" s="3"/>
      <c r="G289" s="3"/>
      <c r="H289" s="3"/>
      <c r="I289" s="3"/>
      <c r="J289" s="3"/>
      <c r="K289" s="3"/>
      <c r="L289" s="3"/>
      <c r="M289" s="3"/>
      <c r="N289" s="3"/>
      <c r="O289" s="3"/>
      <c r="P289" s="3"/>
    </row>
    <row r="290">
      <c r="A290" s="3"/>
      <c r="B290" s="3"/>
      <c r="C290" s="3"/>
      <c r="D290" s="3"/>
      <c r="E290" s="3"/>
      <c r="F290" s="3"/>
      <c r="G290" s="3"/>
      <c r="H290" s="3"/>
      <c r="I290" s="3"/>
      <c r="J290" s="3"/>
      <c r="K290" s="3"/>
      <c r="L290" s="3"/>
      <c r="M290" s="3"/>
      <c r="N290" s="3"/>
      <c r="O290" s="3"/>
      <c r="P290" s="3"/>
    </row>
    <row r="291">
      <c r="A291" s="3"/>
      <c r="B291" s="3"/>
      <c r="C291" s="3"/>
      <c r="D291" s="3"/>
      <c r="E291" s="3"/>
      <c r="F291" s="3"/>
      <c r="G291" s="3"/>
      <c r="H291" s="3"/>
      <c r="I291" s="3"/>
      <c r="J291" s="3"/>
      <c r="K291" s="3"/>
      <c r="L291" s="3"/>
      <c r="M291" s="3"/>
      <c r="N291" s="3"/>
      <c r="O291" s="3"/>
      <c r="P291" s="3"/>
    </row>
    <row r="292">
      <c r="A292" s="3"/>
      <c r="B292" s="3"/>
      <c r="C292" s="3"/>
      <c r="D292" s="3"/>
      <c r="E292" s="3"/>
      <c r="F292" s="3"/>
      <c r="G292" s="3"/>
      <c r="H292" s="3"/>
      <c r="I292" s="3"/>
      <c r="J292" s="3"/>
      <c r="K292" s="3"/>
      <c r="L292" s="3"/>
      <c r="M292" s="3"/>
      <c r="N292" s="3"/>
      <c r="O292" s="3"/>
      <c r="P292" s="3"/>
    </row>
    <row r="293">
      <c r="A293" s="3"/>
      <c r="B293" s="3"/>
      <c r="C293" s="3"/>
      <c r="D293" s="3"/>
      <c r="E293" s="3"/>
      <c r="F293" s="3"/>
      <c r="G293" s="3"/>
      <c r="H293" s="3"/>
      <c r="I293" s="3"/>
      <c r="J293" s="3"/>
      <c r="K293" s="3"/>
      <c r="L293" s="3"/>
      <c r="M293" s="3"/>
      <c r="N293" s="3"/>
      <c r="O293" s="3"/>
      <c r="P293" s="3"/>
    </row>
    <row r="294">
      <c r="A294" s="3"/>
      <c r="B294" s="3"/>
      <c r="C294" s="3"/>
      <c r="D294" s="3"/>
      <c r="E294" s="3"/>
      <c r="F294" s="3"/>
      <c r="G294" s="3"/>
      <c r="H294" s="3"/>
      <c r="I294" s="3"/>
      <c r="J294" s="3"/>
      <c r="K294" s="3"/>
      <c r="L294" s="3"/>
      <c r="M294" s="3"/>
      <c r="N294" s="3"/>
      <c r="O294" s="3"/>
      <c r="P294" s="3"/>
    </row>
    <row r="295">
      <c r="A295" s="3"/>
      <c r="B295" s="3"/>
      <c r="C295" s="3"/>
      <c r="D295" s="3"/>
      <c r="E295" s="3"/>
      <c r="F295" s="3"/>
      <c r="G295" s="3"/>
      <c r="H295" s="3"/>
      <c r="I295" s="3"/>
      <c r="J295" s="3"/>
      <c r="K295" s="3"/>
      <c r="L295" s="3"/>
      <c r="M295" s="3"/>
      <c r="N295" s="3"/>
      <c r="O295" s="3"/>
      <c r="P295" s="3"/>
    </row>
    <row r="296">
      <c r="A296" s="3"/>
      <c r="B296" s="3"/>
      <c r="C296" s="3"/>
      <c r="D296" s="3"/>
      <c r="E296" s="3"/>
      <c r="F296" s="3"/>
      <c r="G296" s="3"/>
      <c r="H296" s="3"/>
      <c r="I296" s="3"/>
      <c r="J296" s="3"/>
      <c r="K296" s="3"/>
      <c r="L296" s="3"/>
      <c r="M296" s="3"/>
      <c r="N296" s="3"/>
      <c r="O296" s="3"/>
      <c r="P296" s="3"/>
    </row>
    <row r="297">
      <c r="A297" s="3"/>
      <c r="B297" s="3"/>
      <c r="C297" s="3"/>
      <c r="D297" s="3"/>
      <c r="E297" s="3"/>
      <c r="F297" s="3"/>
      <c r="G297" s="3"/>
      <c r="H297" s="3"/>
      <c r="I297" s="3"/>
      <c r="J297" s="3"/>
      <c r="K297" s="3"/>
      <c r="L297" s="3"/>
      <c r="M297" s="3"/>
      <c r="N297" s="3"/>
      <c r="O297" s="3"/>
      <c r="P297" s="3"/>
    </row>
    <row r="298">
      <c r="A298" s="3"/>
      <c r="B298" s="3"/>
      <c r="C298" s="3"/>
      <c r="D298" s="3"/>
      <c r="E298" s="3"/>
      <c r="F298" s="3"/>
      <c r="G298" s="3"/>
      <c r="H298" s="3"/>
      <c r="I298" s="3"/>
      <c r="J298" s="3"/>
      <c r="K298" s="3"/>
      <c r="L298" s="3"/>
      <c r="M298" s="3"/>
      <c r="N298" s="3"/>
      <c r="O298" s="3"/>
      <c r="P298" s="3"/>
    </row>
    <row r="299">
      <c r="A299" s="3"/>
      <c r="B299" s="3"/>
      <c r="C299" s="3"/>
      <c r="D299" s="3"/>
      <c r="E299" s="3"/>
      <c r="F299" s="3"/>
      <c r="G299" s="3"/>
      <c r="H299" s="3"/>
      <c r="I299" s="3"/>
      <c r="J299" s="3"/>
      <c r="K299" s="3"/>
      <c r="L299" s="3"/>
      <c r="M299" s="3"/>
      <c r="N299" s="3"/>
      <c r="O299" s="3"/>
      <c r="P299" s="3"/>
    </row>
    <row r="300">
      <c r="A300" s="3"/>
      <c r="B300" s="3"/>
      <c r="C300" s="3"/>
      <c r="D300" s="3"/>
      <c r="E300" s="3"/>
      <c r="F300" s="3"/>
      <c r="G300" s="3"/>
      <c r="H300" s="3"/>
      <c r="I300" s="3"/>
      <c r="J300" s="3"/>
      <c r="K300" s="3"/>
      <c r="L300" s="3"/>
      <c r="M300" s="3"/>
      <c r="N300" s="3"/>
      <c r="O300" s="3"/>
      <c r="P300" s="3"/>
    </row>
    <row r="301">
      <c r="A301" s="3"/>
      <c r="B301" s="3"/>
      <c r="C301" s="3"/>
      <c r="D301" s="3"/>
      <c r="E301" s="3"/>
      <c r="F301" s="3"/>
      <c r="G301" s="3"/>
      <c r="H301" s="3"/>
      <c r="I301" s="3"/>
      <c r="J301" s="3"/>
      <c r="K301" s="3"/>
      <c r="L301" s="3"/>
      <c r="M301" s="3"/>
      <c r="N301" s="3"/>
      <c r="O301" s="3"/>
      <c r="P301" s="3"/>
    </row>
    <row r="302">
      <c r="A302" s="3"/>
      <c r="B302" s="3"/>
      <c r="C302" s="3"/>
      <c r="D302" s="3"/>
      <c r="E302" s="3"/>
      <c r="F302" s="3"/>
      <c r="G302" s="3"/>
      <c r="H302" s="3"/>
      <c r="I302" s="3"/>
      <c r="J302" s="3"/>
      <c r="K302" s="3"/>
      <c r="L302" s="3"/>
      <c r="M302" s="3"/>
      <c r="N302" s="3"/>
      <c r="O302" s="3"/>
      <c r="P302" s="3"/>
    </row>
    <row r="303">
      <c r="A303" s="3"/>
      <c r="B303" s="3"/>
      <c r="C303" s="3"/>
      <c r="D303" s="3"/>
      <c r="E303" s="3"/>
      <c r="F303" s="3"/>
      <c r="G303" s="3"/>
      <c r="H303" s="3"/>
      <c r="I303" s="3"/>
      <c r="J303" s="3"/>
      <c r="K303" s="3"/>
      <c r="L303" s="3"/>
      <c r="M303" s="3"/>
      <c r="N303" s="3"/>
      <c r="O303" s="3"/>
      <c r="P303" s="3"/>
    </row>
    <row r="304">
      <c r="A304" s="3"/>
      <c r="B304" s="3"/>
      <c r="C304" s="3"/>
      <c r="D304" s="3"/>
      <c r="E304" s="3"/>
      <c r="F304" s="3"/>
      <c r="G304" s="3"/>
      <c r="H304" s="3"/>
      <c r="I304" s="3"/>
      <c r="J304" s="3"/>
      <c r="K304" s="3"/>
      <c r="L304" s="3"/>
      <c r="M304" s="3"/>
      <c r="N304" s="3"/>
      <c r="O304" s="3"/>
      <c r="P304" s="3"/>
    </row>
    <row r="305">
      <c r="A305" s="3"/>
      <c r="B305" s="3"/>
      <c r="C305" s="3"/>
      <c r="D305" s="3"/>
      <c r="E305" s="3"/>
      <c r="F305" s="3"/>
      <c r="G305" s="3"/>
      <c r="H305" s="3"/>
      <c r="I305" s="3"/>
      <c r="J305" s="3"/>
      <c r="K305" s="3"/>
      <c r="L305" s="3"/>
      <c r="M305" s="3"/>
      <c r="N305" s="3"/>
      <c r="O305" s="3"/>
      <c r="P305" s="3"/>
    </row>
    <row r="306">
      <c r="A306" s="3"/>
      <c r="B306" s="3"/>
      <c r="C306" s="3"/>
      <c r="D306" s="3"/>
      <c r="E306" s="3"/>
      <c r="F306" s="3"/>
      <c r="G306" s="3"/>
      <c r="H306" s="3"/>
      <c r="I306" s="3"/>
      <c r="J306" s="3"/>
      <c r="K306" s="3"/>
      <c r="L306" s="3"/>
      <c r="M306" s="3"/>
      <c r="N306" s="3"/>
      <c r="O306" s="3"/>
      <c r="P306" s="3"/>
    </row>
    <row r="307">
      <c r="A307" s="3"/>
      <c r="B307" s="3"/>
      <c r="C307" s="3"/>
      <c r="D307" s="3"/>
      <c r="E307" s="3"/>
      <c r="F307" s="3"/>
      <c r="G307" s="3"/>
      <c r="H307" s="3"/>
      <c r="I307" s="3"/>
      <c r="J307" s="3"/>
      <c r="K307" s="3"/>
      <c r="L307" s="3"/>
      <c r="M307" s="3"/>
      <c r="N307" s="3"/>
      <c r="O307" s="3"/>
      <c r="P307" s="3"/>
    </row>
    <row r="308">
      <c r="A308" s="3"/>
      <c r="B308" s="3"/>
      <c r="C308" s="3"/>
      <c r="D308" s="3"/>
      <c r="E308" s="3"/>
      <c r="F308" s="3"/>
      <c r="G308" s="3"/>
      <c r="H308" s="3"/>
      <c r="I308" s="3"/>
      <c r="J308" s="3"/>
      <c r="K308" s="3"/>
      <c r="L308" s="3"/>
      <c r="M308" s="3"/>
      <c r="N308" s="3"/>
      <c r="O308" s="3"/>
      <c r="P308" s="3"/>
    </row>
    <row r="309">
      <c r="A309" s="3"/>
      <c r="B309" s="3"/>
      <c r="C309" s="3"/>
      <c r="D309" s="3"/>
      <c r="E309" s="3"/>
      <c r="F309" s="3"/>
      <c r="G309" s="3"/>
      <c r="H309" s="3"/>
      <c r="I309" s="3"/>
      <c r="J309" s="3"/>
      <c r="K309" s="3"/>
      <c r="L309" s="3"/>
      <c r="M309" s="3"/>
      <c r="N309" s="3"/>
      <c r="O309" s="3"/>
      <c r="P309" s="3"/>
    </row>
    <row r="310">
      <c r="A310" s="3"/>
      <c r="B310" s="3"/>
      <c r="C310" s="3"/>
      <c r="D310" s="3"/>
      <c r="E310" s="3"/>
      <c r="F310" s="3"/>
      <c r="G310" s="3"/>
      <c r="H310" s="3"/>
      <c r="I310" s="3"/>
      <c r="J310" s="3"/>
      <c r="K310" s="3"/>
      <c r="L310" s="3"/>
      <c r="M310" s="3"/>
      <c r="N310" s="3"/>
      <c r="O310" s="3"/>
      <c r="P310" s="3"/>
    </row>
    <row r="311">
      <c r="A311" s="3"/>
      <c r="B311" s="3"/>
      <c r="C311" s="3"/>
      <c r="D311" s="3"/>
      <c r="E311" s="3"/>
      <c r="F311" s="3"/>
      <c r="G311" s="3"/>
      <c r="H311" s="3"/>
      <c r="I311" s="3"/>
      <c r="J311" s="3"/>
      <c r="K311" s="3"/>
      <c r="L311" s="3"/>
      <c r="M311" s="3"/>
      <c r="N311" s="3"/>
      <c r="O311" s="3"/>
      <c r="P311" s="3"/>
    </row>
    <row r="312">
      <c r="A312" s="3"/>
      <c r="B312" s="3"/>
      <c r="C312" s="3"/>
      <c r="D312" s="3"/>
      <c r="E312" s="3"/>
      <c r="F312" s="3"/>
      <c r="G312" s="3"/>
      <c r="H312" s="3"/>
      <c r="I312" s="3"/>
      <c r="J312" s="3"/>
      <c r="K312" s="3"/>
      <c r="L312" s="3"/>
      <c r="M312" s="3"/>
      <c r="N312" s="3"/>
      <c r="O312" s="3"/>
      <c r="P312" s="3"/>
    </row>
    <row r="313">
      <c r="A313" s="3"/>
      <c r="B313" s="3"/>
      <c r="C313" s="3"/>
      <c r="D313" s="3"/>
      <c r="E313" s="3"/>
      <c r="F313" s="3"/>
      <c r="G313" s="3"/>
      <c r="H313" s="3"/>
      <c r="I313" s="3"/>
      <c r="J313" s="3"/>
      <c r="K313" s="3"/>
      <c r="L313" s="3"/>
      <c r="M313" s="3"/>
      <c r="N313" s="3"/>
      <c r="O313" s="3"/>
      <c r="P313" s="3"/>
    </row>
    <row r="314">
      <c r="A314" s="3"/>
      <c r="B314" s="3"/>
      <c r="C314" s="3"/>
      <c r="D314" s="3"/>
      <c r="E314" s="3"/>
      <c r="F314" s="3"/>
      <c r="G314" s="3"/>
      <c r="H314" s="3"/>
      <c r="I314" s="3"/>
      <c r="J314" s="3"/>
      <c r="K314" s="3"/>
      <c r="L314" s="3"/>
      <c r="M314" s="3"/>
      <c r="N314" s="3"/>
      <c r="O314" s="3"/>
      <c r="P314" s="3"/>
    </row>
    <row r="315">
      <c r="A315" s="3"/>
      <c r="B315" s="3"/>
      <c r="C315" s="3"/>
      <c r="D315" s="3"/>
      <c r="E315" s="3"/>
      <c r="F315" s="3"/>
      <c r="G315" s="3"/>
      <c r="H315" s="3"/>
      <c r="I315" s="3"/>
      <c r="J315" s="3"/>
      <c r="K315" s="3"/>
      <c r="L315" s="3"/>
      <c r="M315" s="3"/>
      <c r="N315" s="3"/>
      <c r="O315" s="3"/>
      <c r="P315" s="3"/>
    </row>
    <row r="316">
      <c r="A316" s="3"/>
      <c r="B316" s="3"/>
      <c r="C316" s="3"/>
      <c r="D316" s="3"/>
      <c r="E316" s="3"/>
      <c r="F316" s="3"/>
      <c r="G316" s="3"/>
      <c r="H316" s="3"/>
      <c r="I316" s="3"/>
      <c r="J316" s="3"/>
      <c r="K316" s="3"/>
      <c r="L316" s="3"/>
      <c r="M316" s="3"/>
      <c r="N316" s="3"/>
      <c r="O316" s="3"/>
      <c r="P316" s="3"/>
    </row>
    <row r="317">
      <c r="A317" s="3"/>
      <c r="B317" s="3"/>
      <c r="C317" s="3"/>
      <c r="D317" s="3"/>
      <c r="E317" s="3"/>
      <c r="F317" s="3"/>
      <c r="G317" s="3"/>
      <c r="H317" s="3"/>
      <c r="I317" s="3"/>
      <c r="J317" s="3"/>
      <c r="K317" s="3"/>
      <c r="L317" s="3"/>
      <c r="M317" s="3"/>
      <c r="N317" s="3"/>
      <c r="O317" s="3"/>
      <c r="P317" s="3"/>
    </row>
    <row r="318">
      <c r="A318" s="3"/>
      <c r="B318" s="3"/>
      <c r="C318" s="3"/>
      <c r="D318" s="3"/>
      <c r="E318" s="3"/>
      <c r="F318" s="3"/>
      <c r="G318" s="3"/>
      <c r="H318" s="3"/>
      <c r="I318" s="3"/>
      <c r="J318" s="3"/>
      <c r="K318" s="3"/>
      <c r="L318" s="3"/>
      <c r="M318" s="3"/>
      <c r="N318" s="3"/>
      <c r="O318" s="3"/>
      <c r="P318" s="3"/>
    </row>
    <row r="319">
      <c r="A319" s="3"/>
      <c r="B319" s="3"/>
      <c r="C319" s="3"/>
      <c r="D319" s="3"/>
      <c r="E319" s="3"/>
      <c r="F319" s="3"/>
      <c r="G319" s="3"/>
      <c r="H319" s="3"/>
      <c r="I319" s="3"/>
      <c r="J319" s="3"/>
      <c r="K319" s="3"/>
      <c r="L319" s="3"/>
      <c r="M319" s="3"/>
      <c r="N319" s="3"/>
      <c r="O319" s="3"/>
      <c r="P319" s="3"/>
    </row>
    <row r="320">
      <c r="A320" s="3"/>
      <c r="B320" s="3"/>
      <c r="C320" s="3"/>
      <c r="D320" s="3"/>
      <c r="E320" s="3"/>
      <c r="F320" s="3"/>
      <c r="G320" s="3"/>
      <c r="H320" s="3"/>
      <c r="I320" s="3"/>
      <c r="J320" s="3"/>
      <c r="K320" s="3"/>
      <c r="L320" s="3"/>
      <c r="M320" s="3"/>
      <c r="N320" s="3"/>
      <c r="O320" s="3"/>
      <c r="P320" s="3"/>
    </row>
    <row r="321">
      <c r="A321" s="3"/>
      <c r="B321" s="3"/>
      <c r="C321" s="3"/>
      <c r="D321" s="3"/>
      <c r="E321" s="3"/>
      <c r="F321" s="3"/>
      <c r="G321" s="3"/>
      <c r="H321" s="3"/>
      <c r="I321" s="3"/>
      <c r="J321" s="3"/>
      <c r="K321" s="3"/>
      <c r="L321" s="3"/>
      <c r="M321" s="3"/>
      <c r="N321" s="3"/>
      <c r="O321" s="3"/>
      <c r="P321" s="3"/>
    </row>
    <row r="322">
      <c r="A322" s="3"/>
      <c r="B322" s="3"/>
      <c r="C322" s="3"/>
      <c r="D322" s="3"/>
      <c r="E322" s="3"/>
      <c r="F322" s="3"/>
      <c r="G322" s="3"/>
      <c r="H322" s="3"/>
      <c r="I322" s="3"/>
      <c r="J322" s="3"/>
      <c r="K322" s="3"/>
      <c r="L322" s="3"/>
      <c r="M322" s="3"/>
      <c r="N322" s="3"/>
      <c r="O322" s="3"/>
      <c r="P322" s="3"/>
    </row>
    <row r="323">
      <c r="A323" s="3"/>
      <c r="B323" s="3"/>
      <c r="C323" s="3"/>
      <c r="D323" s="3"/>
      <c r="E323" s="3"/>
      <c r="F323" s="3"/>
      <c r="G323" s="3"/>
      <c r="H323" s="3"/>
      <c r="I323" s="3"/>
      <c r="J323" s="3"/>
      <c r="K323" s="3"/>
      <c r="L323" s="3"/>
      <c r="M323" s="3"/>
      <c r="N323" s="3"/>
      <c r="O323" s="3"/>
      <c r="P323" s="3"/>
    </row>
    <row r="324">
      <c r="A324" s="3"/>
      <c r="B324" s="3"/>
      <c r="C324" s="3"/>
      <c r="D324" s="3"/>
      <c r="E324" s="3"/>
      <c r="F324" s="3"/>
      <c r="G324" s="3"/>
      <c r="H324" s="3"/>
      <c r="I324" s="3"/>
      <c r="J324" s="3"/>
      <c r="K324" s="3"/>
      <c r="L324" s="3"/>
      <c r="M324" s="3"/>
      <c r="N324" s="3"/>
      <c r="O324" s="3"/>
      <c r="P324" s="3"/>
    </row>
    <row r="325">
      <c r="A325" s="3"/>
      <c r="B325" s="3"/>
      <c r="C325" s="3"/>
      <c r="D325" s="3"/>
      <c r="E325" s="3"/>
      <c r="F325" s="3"/>
      <c r="G325" s="3"/>
      <c r="H325" s="3"/>
      <c r="I325" s="3"/>
      <c r="J325" s="3"/>
      <c r="K325" s="3"/>
      <c r="L325" s="3"/>
      <c r="M325" s="3"/>
      <c r="N325" s="3"/>
      <c r="O325" s="3"/>
      <c r="P325" s="3"/>
    </row>
    <row r="326">
      <c r="A326" s="3"/>
      <c r="B326" s="3"/>
      <c r="C326" s="3"/>
      <c r="D326" s="3"/>
      <c r="E326" s="3"/>
      <c r="F326" s="3"/>
      <c r="G326" s="3"/>
      <c r="H326" s="3"/>
      <c r="I326" s="3"/>
      <c r="J326" s="3"/>
      <c r="K326" s="3"/>
      <c r="L326" s="3"/>
      <c r="M326" s="3"/>
      <c r="N326" s="3"/>
      <c r="O326" s="3"/>
      <c r="P326" s="3"/>
    </row>
    <row r="327">
      <c r="A327" s="3"/>
      <c r="B327" s="3"/>
      <c r="C327" s="3"/>
      <c r="D327" s="3"/>
      <c r="E327" s="3"/>
      <c r="F327" s="3"/>
      <c r="G327" s="3"/>
      <c r="H327" s="3"/>
      <c r="I327" s="3"/>
      <c r="J327" s="3"/>
      <c r="K327" s="3"/>
      <c r="L327" s="3"/>
      <c r="M327" s="3"/>
      <c r="N327" s="3"/>
      <c r="O327" s="3"/>
      <c r="P327" s="3"/>
    </row>
    <row r="328">
      <c r="A328" s="3"/>
      <c r="B328" s="3"/>
      <c r="C328" s="3"/>
      <c r="D328" s="3"/>
      <c r="E328" s="3"/>
      <c r="F328" s="3"/>
      <c r="G328" s="3"/>
      <c r="H328" s="3"/>
      <c r="I328" s="3"/>
      <c r="J328" s="3"/>
      <c r="K328" s="3"/>
      <c r="L328" s="3"/>
      <c r="M328" s="3"/>
      <c r="N328" s="3"/>
      <c r="O328" s="3"/>
      <c r="P328" s="3"/>
    </row>
    <row r="329">
      <c r="A329" s="3"/>
      <c r="B329" s="3"/>
      <c r="C329" s="3"/>
      <c r="D329" s="3"/>
      <c r="E329" s="3"/>
      <c r="F329" s="3"/>
      <c r="G329" s="3"/>
      <c r="H329" s="3"/>
      <c r="I329" s="3"/>
      <c r="J329" s="3"/>
      <c r="K329" s="3"/>
      <c r="L329" s="3"/>
      <c r="M329" s="3"/>
      <c r="N329" s="3"/>
      <c r="O329" s="3"/>
      <c r="P329" s="3"/>
    </row>
    <row r="330">
      <c r="A330" s="3"/>
      <c r="B330" s="3"/>
      <c r="C330" s="3"/>
      <c r="D330" s="3"/>
      <c r="E330" s="3"/>
      <c r="F330" s="3"/>
      <c r="G330" s="3"/>
      <c r="H330" s="3"/>
      <c r="I330" s="3"/>
      <c r="J330" s="3"/>
      <c r="K330" s="3"/>
      <c r="L330" s="3"/>
      <c r="M330" s="3"/>
      <c r="N330" s="3"/>
      <c r="O330" s="3"/>
      <c r="P330" s="3"/>
    </row>
    <row r="331">
      <c r="A331" s="3"/>
      <c r="B331" s="3"/>
      <c r="C331" s="3"/>
      <c r="D331" s="3"/>
      <c r="E331" s="3"/>
      <c r="F331" s="3"/>
      <c r="G331" s="3"/>
      <c r="H331" s="3"/>
      <c r="I331" s="3"/>
      <c r="J331" s="3"/>
      <c r="K331" s="3"/>
      <c r="L331" s="3"/>
      <c r="M331" s="3"/>
      <c r="N331" s="3"/>
      <c r="O331" s="3"/>
      <c r="P331" s="3"/>
    </row>
    <row r="332">
      <c r="A332" s="3"/>
      <c r="B332" s="3"/>
      <c r="C332" s="3"/>
      <c r="D332" s="3"/>
      <c r="E332" s="3"/>
      <c r="F332" s="3"/>
      <c r="G332" s="3"/>
      <c r="H332" s="3"/>
      <c r="I332" s="3"/>
      <c r="J332" s="3"/>
      <c r="K332" s="3"/>
      <c r="L332" s="3"/>
      <c r="M332" s="3"/>
      <c r="N332" s="3"/>
      <c r="O332" s="3"/>
      <c r="P332" s="3"/>
    </row>
    <row r="333">
      <c r="A333" s="3"/>
      <c r="B333" s="3"/>
      <c r="C333" s="3"/>
      <c r="D333" s="3"/>
      <c r="E333" s="3"/>
      <c r="F333" s="3"/>
      <c r="G333" s="3"/>
      <c r="H333" s="3"/>
      <c r="I333" s="3"/>
      <c r="J333" s="3"/>
      <c r="K333" s="3"/>
      <c r="L333" s="3"/>
      <c r="M333" s="3"/>
      <c r="N333" s="3"/>
      <c r="O333" s="3"/>
      <c r="P333" s="3"/>
    </row>
    <row r="334">
      <c r="A334" s="3"/>
      <c r="B334" s="3"/>
      <c r="C334" s="3"/>
      <c r="D334" s="3"/>
      <c r="E334" s="3"/>
      <c r="F334" s="3"/>
      <c r="G334" s="3"/>
      <c r="H334" s="3"/>
      <c r="I334" s="3"/>
      <c r="J334" s="3"/>
      <c r="K334" s="3"/>
      <c r="L334" s="3"/>
      <c r="M334" s="3"/>
      <c r="N334" s="3"/>
      <c r="O334" s="3"/>
      <c r="P334" s="3"/>
    </row>
    <row r="335">
      <c r="A335" s="3"/>
      <c r="B335" s="3"/>
      <c r="C335" s="3"/>
      <c r="D335" s="3"/>
      <c r="E335" s="3"/>
      <c r="F335" s="3"/>
      <c r="G335" s="3"/>
      <c r="H335" s="3"/>
      <c r="I335" s="3"/>
      <c r="J335" s="3"/>
      <c r="K335" s="3"/>
      <c r="L335" s="3"/>
      <c r="M335" s="3"/>
      <c r="N335" s="3"/>
      <c r="O335" s="3"/>
      <c r="P335" s="3"/>
    </row>
    <row r="336">
      <c r="A336" s="3"/>
      <c r="B336" s="3"/>
      <c r="C336" s="3"/>
      <c r="D336" s="3"/>
      <c r="E336" s="3"/>
      <c r="F336" s="3"/>
      <c r="G336" s="3"/>
      <c r="H336" s="3"/>
      <c r="I336" s="3"/>
      <c r="J336" s="3"/>
      <c r="K336" s="3"/>
      <c r="L336" s="3"/>
      <c r="M336" s="3"/>
      <c r="N336" s="3"/>
      <c r="O336" s="3"/>
      <c r="P336" s="3"/>
    </row>
    <row r="337">
      <c r="A337" s="3"/>
      <c r="B337" s="3"/>
      <c r="C337" s="3"/>
      <c r="D337" s="3"/>
      <c r="E337" s="3"/>
      <c r="F337" s="3"/>
      <c r="G337" s="3"/>
      <c r="H337" s="3"/>
      <c r="I337" s="3"/>
      <c r="J337" s="3"/>
      <c r="K337" s="3"/>
      <c r="L337" s="3"/>
      <c r="M337" s="3"/>
      <c r="N337" s="3"/>
      <c r="O337" s="3"/>
      <c r="P337" s="3"/>
    </row>
    <row r="338">
      <c r="A338" s="3"/>
      <c r="B338" s="3"/>
      <c r="C338" s="3"/>
      <c r="D338" s="3"/>
      <c r="E338" s="3"/>
      <c r="F338" s="3"/>
      <c r="G338" s="3"/>
      <c r="H338" s="3"/>
      <c r="I338" s="3"/>
      <c r="J338" s="3"/>
      <c r="K338" s="3"/>
      <c r="L338" s="3"/>
      <c r="M338" s="3"/>
      <c r="N338" s="3"/>
      <c r="O338" s="3"/>
      <c r="P338" s="3"/>
    </row>
    <row r="339">
      <c r="A339" s="3"/>
      <c r="B339" s="3"/>
      <c r="C339" s="3"/>
      <c r="D339" s="3"/>
      <c r="E339" s="3"/>
      <c r="F339" s="3"/>
      <c r="G339" s="3"/>
      <c r="H339" s="3"/>
      <c r="I339" s="3"/>
      <c r="J339" s="3"/>
      <c r="K339" s="3"/>
      <c r="L339" s="3"/>
      <c r="M339" s="3"/>
      <c r="N339" s="3"/>
      <c r="O339" s="3"/>
      <c r="P339" s="3"/>
    </row>
    <row r="340">
      <c r="A340" s="3"/>
      <c r="B340" s="3"/>
      <c r="C340" s="3"/>
      <c r="D340" s="3"/>
      <c r="E340" s="3"/>
      <c r="F340" s="3"/>
      <c r="G340" s="3"/>
      <c r="H340" s="3"/>
      <c r="I340" s="3"/>
      <c r="J340" s="3"/>
      <c r="K340" s="3"/>
      <c r="L340" s="3"/>
      <c r="M340" s="3"/>
      <c r="N340" s="3"/>
      <c r="O340" s="3"/>
      <c r="P340" s="3"/>
    </row>
    <row r="341">
      <c r="A341" s="3"/>
      <c r="B341" s="3"/>
      <c r="C341" s="3"/>
      <c r="D341" s="3"/>
      <c r="E341" s="3"/>
      <c r="F341" s="3"/>
      <c r="G341" s="3"/>
      <c r="H341" s="3"/>
      <c r="I341" s="3"/>
      <c r="J341" s="3"/>
      <c r="K341" s="3"/>
      <c r="L341" s="3"/>
      <c r="M341" s="3"/>
      <c r="N341" s="3"/>
      <c r="O341" s="3"/>
      <c r="P341" s="3"/>
    </row>
    <row r="342">
      <c r="A342" s="3"/>
      <c r="B342" s="3"/>
      <c r="C342" s="3"/>
      <c r="D342" s="3"/>
      <c r="E342" s="3"/>
      <c r="F342" s="3"/>
      <c r="G342" s="3"/>
      <c r="H342" s="3"/>
      <c r="I342" s="3"/>
      <c r="J342" s="3"/>
      <c r="K342" s="3"/>
      <c r="L342" s="3"/>
      <c r="M342" s="3"/>
      <c r="N342" s="3"/>
      <c r="O342" s="3"/>
      <c r="P342" s="3"/>
    </row>
    <row r="343">
      <c r="A343" s="3"/>
      <c r="B343" s="3"/>
      <c r="C343" s="3"/>
      <c r="D343" s="3"/>
      <c r="E343" s="3"/>
      <c r="F343" s="3"/>
      <c r="G343" s="3"/>
      <c r="H343" s="3"/>
      <c r="I343" s="3"/>
      <c r="J343" s="3"/>
      <c r="K343" s="3"/>
      <c r="L343" s="3"/>
      <c r="M343" s="3"/>
      <c r="N343" s="3"/>
      <c r="O343" s="3"/>
      <c r="P343" s="3"/>
    </row>
    <row r="344">
      <c r="A344" s="3"/>
      <c r="B344" s="3"/>
      <c r="C344" s="3"/>
      <c r="D344" s="3"/>
      <c r="E344" s="3"/>
      <c r="F344" s="3"/>
      <c r="G344" s="3"/>
      <c r="H344" s="3"/>
      <c r="I344" s="3"/>
      <c r="J344" s="3"/>
      <c r="K344" s="3"/>
      <c r="L344" s="3"/>
      <c r="M344" s="3"/>
      <c r="N344" s="3"/>
      <c r="O344" s="3"/>
      <c r="P344" s="3"/>
    </row>
    <row r="345">
      <c r="A345" s="3"/>
      <c r="B345" s="3"/>
      <c r="C345" s="3"/>
      <c r="D345" s="3"/>
      <c r="E345" s="3"/>
      <c r="F345" s="3"/>
      <c r="G345" s="3"/>
      <c r="H345" s="3"/>
      <c r="I345" s="3"/>
      <c r="J345" s="3"/>
      <c r="K345" s="3"/>
      <c r="L345" s="3"/>
      <c r="M345" s="3"/>
      <c r="N345" s="3"/>
      <c r="O345" s="3"/>
      <c r="P345" s="3"/>
    </row>
    <row r="346">
      <c r="A346" s="3"/>
      <c r="B346" s="3"/>
      <c r="C346" s="3"/>
      <c r="D346" s="3"/>
      <c r="E346" s="3"/>
      <c r="F346" s="3"/>
      <c r="G346" s="3"/>
      <c r="H346" s="3"/>
      <c r="I346" s="3"/>
      <c r="J346" s="3"/>
      <c r="K346" s="3"/>
      <c r="L346" s="3"/>
      <c r="M346" s="3"/>
      <c r="N346" s="3"/>
      <c r="O346" s="3"/>
      <c r="P346" s="3"/>
    </row>
    <row r="347">
      <c r="A347" s="3"/>
      <c r="B347" s="3"/>
      <c r="C347" s="3"/>
      <c r="D347" s="3"/>
      <c r="E347" s="3"/>
      <c r="F347" s="3"/>
      <c r="G347" s="3"/>
      <c r="H347" s="3"/>
      <c r="I347" s="3"/>
      <c r="J347" s="3"/>
      <c r="K347" s="3"/>
      <c r="L347" s="3"/>
      <c r="M347" s="3"/>
      <c r="N347" s="3"/>
      <c r="O347" s="3"/>
      <c r="P347" s="3"/>
    </row>
    <row r="348">
      <c r="A348" s="3"/>
      <c r="B348" s="3"/>
      <c r="C348" s="3"/>
      <c r="D348" s="3"/>
      <c r="E348" s="3"/>
      <c r="F348" s="3"/>
      <c r="G348" s="3"/>
      <c r="H348" s="3"/>
      <c r="I348" s="3"/>
      <c r="J348" s="3"/>
      <c r="K348" s="3"/>
      <c r="L348" s="3"/>
      <c r="M348" s="3"/>
      <c r="N348" s="3"/>
      <c r="O348" s="3"/>
      <c r="P348" s="3"/>
    </row>
    <row r="349">
      <c r="A349" s="3"/>
      <c r="B349" s="3"/>
      <c r="C349" s="3"/>
      <c r="D349" s="3"/>
      <c r="E349" s="3"/>
      <c r="F349" s="3"/>
      <c r="G349" s="3"/>
      <c r="H349" s="3"/>
      <c r="I349" s="3"/>
      <c r="J349" s="3"/>
      <c r="K349" s="3"/>
      <c r="L349" s="3"/>
      <c r="M349" s="3"/>
      <c r="N349" s="3"/>
      <c r="O349" s="3"/>
      <c r="P349" s="3"/>
    </row>
    <row r="350">
      <c r="A350" s="3"/>
      <c r="B350" s="3"/>
      <c r="C350" s="3"/>
      <c r="D350" s="3"/>
      <c r="E350" s="3"/>
      <c r="F350" s="3"/>
      <c r="G350" s="3"/>
      <c r="H350" s="3"/>
      <c r="I350" s="3"/>
      <c r="J350" s="3"/>
      <c r="K350" s="3"/>
      <c r="L350" s="3"/>
      <c r="M350" s="3"/>
      <c r="N350" s="3"/>
      <c r="O350" s="3"/>
      <c r="P350" s="3"/>
    </row>
    <row r="351">
      <c r="A351" s="3"/>
      <c r="B351" s="3"/>
      <c r="C351" s="3"/>
      <c r="D351" s="3"/>
      <c r="E351" s="3"/>
      <c r="F351" s="3"/>
      <c r="G351" s="3"/>
      <c r="H351" s="3"/>
      <c r="I351" s="3"/>
      <c r="J351" s="3"/>
      <c r="K351" s="3"/>
      <c r="L351" s="3"/>
      <c r="M351" s="3"/>
      <c r="N351" s="3"/>
      <c r="O351" s="3"/>
      <c r="P351" s="3"/>
    </row>
    <row r="352">
      <c r="A352" s="3"/>
      <c r="B352" s="3"/>
      <c r="C352" s="3"/>
      <c r="D352" s="3"/>
      <c r="E352" s="3"/>
      <c r="F352" s="3"/>
      <c r="G352" s="3"/>
      <c r="H352" s="3"/>
      <c r="I352" s="3"/>
      <c r="J352" s="3"/>
      <c r="K352" s="3"/>
      <c r="L352" s="3"/>
      <c r="M352" s="3"/>
      <c r="N352" s="3"/>
      <c r="O352" s="3"/>
      <c r="P352" s="3"/>
    </row>
    <row r="353">
      <c r="A353" s="3"/>
      <c r="B353" s="3"/>
      <c r="C353" s="3"/>
      <c r="D353" s="3"/>
      <c r="E353" s="3"/>
      <c r="F353" s="3"/>
      <c r="G353" s="3"/>
      <c r="H353" s="3"/>
      <c r="I353" s="3"/>
      <c r="J353" s="3"/>
      <c r="K353" s="3"/>
      <c r="L353" s="3"/>
      <c r="M353" s="3"/>
      <c r="N353" s="3"/>
      <c r="O353" s="3"/>
      <c r="P353" s="3"/>
    </row>
    <row r="354">
      <c r="A354" s="3"/>
      <c r="B354" s="3"/>
      <c r="C354" s="3"/>
      <c r="D354" s="3"/>
      <c r="E354" s="3"/>
      <c r="F354" s="3"/>
      <c r="G354" s="3"/>
      <c r="H354" s="3"/>
      <c r="I354" s="3"/>
      <c r="J354" s="3"/>
      <c r="K354" s="3"/>
      <c r="L354" s="3"/>
      <c r="M354" s="3"/>
      <c r="N354" s="3"/>
      <c r="O354" s="3"/>
      <c r="P354" s="3"/>
    </row>
    <row r="355">
      <c r="A355" s="3"/>
      <c r="B355" s="3"/>
      <c r="C355" s="3"/>
      <c r="D355" s="3"/>
      <c r="E355" s="3"/>
      <c r="F355" s="3"/>
      <c r="G355" s="3"/>
      <c r="H355" s="3"/>
      <c r="I355" s="3"/>
      <c r="J355" s="3"/>
      <c r="K355" s="3"/>
      <c r="L355" s="3"/>
      <c r="M355" s="3"/>
      <c r="N355" s="3"/>
      <c r="O355" s="3"/>
      <c r="P355" s="3"/>
    </row>
    <row r="356">
      <c r="A356" s="3"/>
      <c r="B356" s="3"/>
      <c r="C356" s="3"/>
      <c r="D356" s="3"/>
      <c r="E356" s="3"/>
      <c r="F356" s="3"/>
      <c r="G356" s="3"/>
      <c r="H356" s="3"/>
      <c r="I356" s="3"/>
      <c r="J356" s="3"/>
      <c r="K356" s="3"/>
      <c r="L356" s="3"/>
      <c r="M356" s="3"/>
      <c r="N356" s="3"/>
      <c r="O356" s="3"/>
      <c r="P356" s="3"/>
    </row>
    <row r="357">
      <c r="A357" s="3"/>
      <c r="B357" s="3"/>
      <c r="C357" s="3"/>
      <c r="D357" s="3"/>
      <c r="E357" s="3"/>
      <c r="F357" s="3"/>
      <c r="G357" s="3"/>
      <c r="H357" s="3"/>
      <c r="I357" s="3"/>
      <c r="J357" s="3"/>
      <c r="K357" s="3"/>
      <c r="L357" s="3"/>
      <c r="M357" s="3"/>
      <c r="N357" s="3"/>
      <c r="O357" s="3"/>
      <c r="P357" s="3"/>
    </row>
    <row r="358">
      <c r="A358" s="3"/>
      <c r="B358" s="3"/>
      <c r="C358" s="3"/>
      <c r="D358" s="3"/>
      <c r="E358" s="3"/>
      <c r="F358" s="3"/>
      <c r="G358" s="3"/>
      <c r="H358" s="3"/>
      <c r="I358" s="3"/>
      <c r="J358" s="3"/>
      <c r="K358" s="3"/>
      <c r="L358" s="3"/>
      <c r="M358" s="3"/>
      <c r="N358" s="3"/>
      <c r="O358" s="3"/>
      <c r="P358" s="3"/>
    </row>
    <row r="359">
      <c r="A359" s="3"/>
      <c r="B359" s="3"/>
      <c r="C359" s="3"/>
      <c r="D359" s="3"/>
      <c r="E359" s="3"/>
      <c r="F359" s="3"/>
      <c r="G359" s="3"/>
      <c r="H359" s="3"/>
      <c r="I359" s="3"/>
      <c r="J359" s="3"/>
      <c r="K359" s="3"/>
      <c r="L359" s="3"/>
      <c r="M359" s="3"/>
      <c r="N359" s="3"/>
      <c r="O359" s="3"/>
      <c r="P359" s="3"/>
    </row>
    <row r="360">
      <c r="A360" s="3"/>
      <c r="B360" s="3"/>
      <c r="C360" s="3"/>
      <c r="D360" s="3"/>
      <c r="E360" s="3"/>
      <c r="F360" s="3"/>
      <c r="G360" s="3"/>
      <c r="H360" s="3"/>
      <c r="I360" s="3"/>
      <c r="J360" s="3"/>
      <c r="K360" s="3"/>
      <c r="L360" s="3"/>
      <c r="M360" s="3"/>
      <c r="N360" s="3"/>
      <c r="O360" s="3"/>
      <c r="P360" s="3"/>
    </row>
    <row r="361">
      <c r="A361" s="3"/>
      <c r="B361" s="3"/>
      <c r="C361" s="3"/>
      <c r="D361" s="3"/>
      <c r="E361" s="3"/>
      <c r="F361" s="3"/>
      <c r="G361" s="3"/>
      <c r="H361" s="3"/>
      <c r="I361" s="3"/>
      <c r="J361" s="3"/>
      <c r="K361" s="3"/>
      <c r="L361" s="3"/>
      <c r="M361" s="3"/>
      <c r="N361" s="3"/>
      <c r="O361" s="3"/>
      <c r="P361" s="3"/>
    </row>
    <row r="362">
      <c r="A362" s="3"/>
      <c r="B362" s="3"/>
      <c r="C362" s="3"/>
      <c r="D362" s="3"/>
      <c r="E362" s="3"/>
      <c r="F362" s="3"/>
      <c r="G362" s="3"/>
      <c r="H362" s="3"/>
      <c r="I362" s="3"/>
      <c r="J362" s="3"/>
      <c r="K362" s="3"/>
      <c r="L362" s="3"/>
      <c r="M362" s="3"/>
      <c r="N362" s="3"/>
      <c r="O362" s="3"/>
      <c r="P362" s="3"/>
    </row>
    <row r="363">
      <c r="A363" s="3"/>
      <c r="B363" s="3"/>
      <c r="C363" s="3"/>
      <c r="D363" s="3"/>
      <c r="E363" s="3"/>
      <c r="F363" s="3"/>
      <c r="G363" s="3"/>
      <c r="H363" s="3"/>
      <c r="I363" s="3"/>
      <c r="J363" s="3"/>
      <c r="K363" s="3"/>
      <c r="L363" s="3"/>
      <c r="M363" s="3"/>
      <c r="N363" s="3"/>
      <c r="O363" s="3"/>
      <c r="P363" s="3"/>
    </row>
    <row r="364">
      <c r="A364" s="3"/>
      <c r="B364" s="3"/>
      <c r="C364" s="3"/>
      <c r="D364" s="3"/>
      <c r="E364" s="3"/>
      <c r="F364" s="3"/>
      <c r="G364" s="3"/>
      <c r="H364" s="3"/>
      <c r="I364" s="3"/>
      <c r="J364" s="3"/>
      <c r="K364" s="3"/>
      <c r="L364" s="3"/>
      <c r="M364" s="3"/>
      <c r="N364" s="3"/>
      <c r="O364" s="3"/>
      <c r="P364" s="3"/>
    </row>
    <row r="365">
      <c r="A365" s="3"/>
      <c r="B365" s="3"/>
      <c r="C365" s="3"/>
      <c r="D365" s="3"/>
      <c r="E365" s="3"/>
      <c r="F365" s="3"/>
      <c r="G365" s="3"/>
      <c r="H365" s="3"/>
      <c r="I365" s="3"/>
      <c r="J365" s="3"/>
      <c r="K365" s="3"/>
      <c r="L365" s="3"/>
      <c r="M365" s="3"/>
      <c r="N365" s="3"/>
      <c r="O365" s="3"/>
      <c r="P365" s="3"/>
    </row>
    <row r="366">
      <c r="A366" s="3"/>
      <c r="B366" s="3"/>
      <c r="C366" s="3"/>
      <c r="D366" s="3"/>
      <c r="E366" s="3"/>
      <c r="F366" s="3"/>
      <c r="G366" s="3"/>
      <c r="H366" s="3"/>
      <c r="I366" s="3"/>
      <c r="J366" s="3"/>
      <c r="K366" s="3"/>
      <c r="L366" s="3"/>
      <c r="M366" s="3"/>
      <c r="N366" s="3"/>
      <c r="O366" s="3"/>
      <c r="P366" s="3"/>
    </row>
    <row r="367">
      <c r="A367" s="3"/>
      <c r="B367" s="3"/>
      <c r="C367" s="3"/>
      <c r="D367" s="3"/>
      <c r="E367" s="3"/>
      <c r="F367" s="3"/>
      <c r="G367" s="3"/>
      <c r="H367" s="3"/>
      <c r="I367" s="3"/>
      <c r="J367" s="3"/>
      <c r="K367" s="3"/>
      <c r="L367" s="3"/>
      <c r="M367" s="3"/>
      <c r="N367" s="3"/>
      <c r="O367" s="3"/>
      <c r="P367" s="3"/>
    </row>
    <row r="368">
      <c r="A368" s="3"/>
      <c r="B368" s="3"/>
      <c r="C368" s="3"/>
      <c r="D368" s="3"/>
      <c r="E368" s="3"/>
      <c r="F368" s="3"/>
      <c r="G368" s="3"/>
      <c r="H368" s="3"/>
      <c r="I368" s="3"/>
      <c r="J368" s="3"/>
      <c r="K368" s="3"/>
      <c r="L368" s="3"/>
      <c r="M368" s="3"/>
      <c r="N368" s="3"/>
      <c r="O368" s="3"/>
      <c r="P368" s="3"/>
    </row>
    <row r="369">
      <c r="A369" s="3"/>
      <c r="B369" s="3"/>
      <c r="C369" s="3"/>
      <c r="D369" s="3"/>
      <c r="E369" s="3"/>
      <c r="F369" s="3"/>
      <c r="G369" s="3"/>
      <c r="H369" s="3"/>
      <c r="I369" s="3"/>
      <c r="J369" s="3"/>
      <c r="K369" s="3"/>
      <c r="L369" s="3"/>
      <c r="M369" s="3"/>
      <c r="N369" s="3"/>
      <c r="O369" s="3"/>
      <c r="P369" s="3"/>
    </row>
    <row r="370">
      <c r="A370" s="3"/>
      <c r="B370" s="3"/>
      <c r="C370" s="3"/>
      <c r="D370" s="3"/>
      <c r="E370" s="3"/>
      <c r="F370" s="3"/>
      <c r="G370" s="3"/>
      <c r="H370" s="3"/>
      <c r="I370" s="3"/>
      <c r="J370" s="3"/>
      <c r="K370" s="3"/>
      <c r="L370" s="3"/>
      <c r="M370" s="3"/>
      <c r="N370" s="3"/>
      <c r="O370" s="3"/>
      <c r="P370" s="3"/>
    </row>
    <row r="371">
      <c r="A371" s="3"/>
      <c r="B371" s="3"/>
      <c r="C371" s="3"/>
      <c r="D371" s="3"/>
      <c r="E371" s="3"/>
      <c r="F371" s="3"/>
      <c r="G371" s="3"/>
      <c r="H371" s="3"/>
      <c r="I371" s="3"/>
      <c r="J371" s="3"/>
      <c r="K371" s="3"/>
      <c r="L371" s="3"/>
      <c r="M371" s="3"/>
      <c r="N371" s="3"/>
      <c r="O371" s="3"/>
      <c r="P371" s="3"/>
    </row>
    <row r="372">
      <c r="A372" s="3"/>
      <c r="B372" s="3"/>
      <c r="C372" s="3"/>
      <c r="D372" s="3"/>
      <c r="E372" s="3"/>
      <c r="F372" s="3"/>
      <c r="G372" s="3"/>
      <c r="H372" s="3"/>
      <c r="I372" s="3"/>
      <c r="J372" s="3"/>
      <c r="K372" s="3"/>
      <c r="L372" s="3"/>
      <c r="M372" s="3"/>
      <c r="N372" s="3"/>
      <c r="O372" s="3"/>
      <c r="P372" s="3"/>
    </row>
    <row r="373">
      <c r="A373" s="3"/>
      <c r="B373" s="3"/>
      <c r="C373" s="3"/>
      <c r="D373" s="3"/>
      <c r="E373" s="3"/>
      <c r="F373" s="3"/>
      <c r="G373" s="3"/>
      <c r="H373" s="3"/>
      <c r="I373" s="3"/>
      <c r="J373" s="3"/>
      <c r="K373" s="3"/>
      <c r="L373" s="3"/>
      <c r="M373" s="3"/>
      <c r="N373" s="3"/>
      <c r="O373" s="3"/>
      <c r="P373" s="3"/>
    </row>
    <row r="374">
      <c r="A374" s="3"/>
      <c r="B374" s="3"/>
      <c r="C374" s="3"/>
      <c r="D374" s="3"/>
      <c r="E374" s="3"/>
      <c r="F374" s="3"/>
      <c r="G374" s="3"/>
      <c r="H374" s="3"/>
      <c r="I374" s="3"/>
      <c r="J374" s="3"/>
      <c r="K374" s="3"/>
      <c r="L374" s="3"/>
      <c r="M374" s="3"/>
      <c r="N374" s="3"/>
      <c r="O374" s="3"/>
      <c r="P374" s="3"/>
    </row>
    <row r="375">
      <c r="A375" s="3"/>
      <c r="B375" s="3"/>
      <c r="C375" s="3"/>
      <c r="D375" s="3"/>
      <c r="E375" s="3"/>
      <c r="F375" s="3"/>
      <c r="G375" s="3"/>
      <c r="H375" s="3"/>
      <c r="I375" s="3"/>
      <c r="J375" s="3"/>
      <c r="K375" s="3"/>
      <c r="L375" s="3"/>
      <c r="M375" s="3"/>
      <c r="N375" s="3"/>
      <c r="O375" s="3"/>
      <c r="P375" s="3"/>
    </row>
    <row r="376">
      <c r="A376" s="3"/>
      <c r="B376" s="3"/>
      <c r="C376" s="3"/>
      <c r="D376" s="3"/>
      <c r="E376" s="3"/>
      <c r="F376" s="3"/>
      <c r="G376" s="3"/>
      <c r="H376" s="3"/>
      <c r="I376" s="3"/>
      <c r="J376" s="3"/>
      <c r="K376" s="3"/>
      <c r="L376" s="3"/>
      <c r="M376" s="3"/>
      <c r="N376" s="3"/>
      <c r="O376" s="3"/>
      <c r="P376" s="3"/>
    </row>
    <row r="377">
      <c r="A377" s="3"/>
      <c r="B377" s="3"/>
      <c r="C377" s="3"/>
      <c r="D377" s="3"/>
      <c r="E377" s="3"/>
      <c r="F377" s="3"/>
      <c r="G377" s="3"/>
      <c r="H377" s="3"/>
      <c r="I377" s="3"/>
      <c r="J377" s="3"/>
      <c r="K377" s="3"/>
      <c r="L377" s="3"/>
      <c r="M377" s="3"/>
      <c r="N377" s="3"/>
      <c r="O377" s="3"/>
      <c r="P377" s="3"/>
    </row>
    <row r="378">
      <c r="A378" s="3"/>
      <c r="B378" s="3"/>
      <c r="C378" s="3"/>
      <c r="D378" s="3"/>
      <c r="E378" s="3"/>
      <c r="F378" s="3"/>
      <c r="G378" s="3"/>
      <c r="H378" s="3"/>
      <c r="I378" s="3"/>
      <c r="J378" s="3"/>
      <c r="K378" s="3"/>
      <c r="L378" s="3"/>
      <c r="M378" s="3"/>
      <c r="N378" s="3"/>
      <c r="O378" s="3"/>
      <c r="P378" s="3"/>
    </row>
    <row r="379">
      <c r="A379" s="3"/>
      <c r="B379" s="3"/>
      <c r="C379" s="3"/>
      <c r="D379" s="3"/>
      <c r="E379" s="3"/>
      <c r="F379" s="3"/>
      <c r="G379" s="3"/>
      <c r="H379" s="3"/>
      <c r="I379" s="3"/>
      <c r="J379" s="3"/>
      <c r="K379" s="3"/>
      <c r="L379" s="3"/>
      <c r="M379" s="3"/>
      <c r="N379" s="3"/>
      <c r="O379" s="3"/>
      <c r="P379" s="3"/>
    </row>
    <row r="380">
      <c r="A380" s="3"/>
      <c r="B380" s="3"/>
      <c r="C380" s="3"/>
      <c r="D380" s="3"/>
      <c r="E380" s="3"/>
      <c r="F380" s="3"/>
      <c r="G380" s="3"/>
      <c r="H380" s="3"/>
      <c r="I380" s="3"/>
      <c r="J380" s="3"/>
      <c r="K380" s="3"/>
      <c r="L380" s="3"/>
      <c r="M380" s="3"/>
      <c r="N380" s="3"/>
      <c r="O380" s="3"/>
      <c r="P380" s="3"/>
    </row>
    <row r="381">
      <c r="A381" s="3"/>
      <c r="B381" s="3"/>
      <c r="C381" s="3"/>
      <c r="D381" s="3"/>
      <c r="E381" s="3"/>
      <c r="F381" s="3"/>
      <c r="G381" s="3"/>
      <c r="H381" s="3"/>
      <c r="I381" s="3"/>
      <c r="J381" s="3"/>
      <c r="K381" s="3"/>
      <c r="L381" s="3"/>
      <c r="M381" s="3"/>
      <c r="N381" s="3"/>
      <c r="O381" s="3"/>
      <c r="P381" s="3"/>
    </row>
    <row r="382">
      <c r="A382" s="3"/>
      <c r="B382" s="3"/>
      <c r="C382" s="3"/>
      <c r="D382" s="3"/>
      <c r="E382" s="3"/>
      <c r="F382" s="3"/>
      <c r="G382" s="3"/>
      <c r="H382" s="3"/>
      <c r="I382" s="3"/>
      <c r="J382" s="3"/>
      <c r="K382" s="3"/>
      <c r="L382" s="3"/>
      <c r="M382" s="3"/>
      <c r="N382" s="3"/>
      <c r="O382" s="3"/>
      <c r="P382" s="3"/>
    </row>
    <row r="383">
      <c r="A383" s="3"/>
      <c r="B383" s="3"/>
      <c r="C383" s="3"/>
      <c r="D383" s="3"/>
      <c r="E383" s="3"/>
      <c r="F383" s="3"/>
      <c r="G383" s="3"/>
      <c r="H383" s="3"/>
      <c r="I383" s="3"/>
      <c r="J383" s="3"/>
      <c r="K383" s="3"/>
      <c r="L383" s="3"/>
      <c r="M383" s="3"/>
      <c r="N383" s="3"/>
      <c r="O383" s="3"/>
      <c r="P383" s="3"/>
    </row>
    <row r="384">
      <c r="A384" s="3"/>
      <c r="B384" s="3"/>
      <c r="C384" s="3"/>
      <c r="D384" s="3"/>
      <c r="E384" s="3"/>
      <c r="F384" s="3"/>
      <c r="G384" s="3"/>
      <c r="H384" s="3"/>
      <c r="I384" s="3"/>
      <c r="J384" s="3"/>
      <c r="K384" s="3"/>
      <c r="L384" s="3"/>
      <c r="M384" s="3"/>
      <c r="N384" s="3"/>
      <c r="O384" s="3"/>
      <c r="P384" s="3"/>
    </row>
    <row r="385">
      <c r="A385" s="3"/>
      <c r="B385" s="3"/>
      <c r="C385" s="3"/>
      <c r="D385" s="3"/>
      <c r="E385" s="3"/>
      <c r="F385" s="3"/>
      <c r="G385" s="3"/>
      <c r="H385" s="3"/>
      <c r="I385" s="3"/>
      <c r="J385" s="3"/>
      <c r="K385" s="3"/>
      <c r="L385" s="3"/>
      <c r="M385" s="3"/>
      <c r="N385" s="3"/>
      <c r="O385" s="3"/>
      <c r="P385" s="3"/>
    </row>
    <row r="386">
      <c r="A386" s="3"/>
      <c r="B386" s="3"/>
      <c r="C386" s="3"/>
      <c r="D386" s="3"/>
      <c r="E386" s="3"/>
      <c r="F386" s="3"/>
      <c r="G386" s="3"/>
      <c r="H386" s="3"/>
      <c r="I386" s="3"/>
      <c r="J386" s="3"/>
      <c r="K386" s="3"/>
      <c r="L386" s="3"/>
      <c r="M386" s="3"/>
      <c r="N386" s="3"/>
      <c r="O386" s="3"/>
      <c r="P386" s="3"/>
    </row>
    <row r="387">
      <c r="A387" s="3"/>
      <c r="B387" s="3"/>
      <c r="C387" s="3"/>
      <c r="D387" s="3"/>
      <c r="E387" s="3"/>
      <c r="F387" s="3"/>
      <c r="G387" s="3"/>
      <c r="H387" s="3"/>
      <c r="I387" s="3"/>
      <c r="J387" s="3"/>
      <c r="K387" s="3"/>
      <c r="L387" s="3"/>
      <c r="M387" s="3"/>
      <c r="N387" s="3"/>
      <c r="O387" s="3"/>
      <c r="P387" s="3"/>
    </row>
    <row r="388">
      <c r="A388" s="3"/>
      <c r="B388" s="3"/>
      <c r="C388" s="3"/>
      <c r="D388" s="3"/>
      <c r="E388" s="3"/>
      <c r="F388" s="3"/>
      <c r="G388" s="3"/>
      <c r="H388" s="3"/>
      <c r="I388" s="3"/>
      <c r="J388" s="3"/>
      <c r="K388" s="3"/>
      <c r="L388" s="3"/>
      <c r="M388" s="3"/>
      <c r="N388" s="3"/>
      <c r="O388" s="3"/>
      <c r="P388" s="3"/>
    </row>
    <row r="389">
      <c r="A389" s="3"/>
      <c r="B389" s="3"/>
      <c r="C389" s="3"/>
      <c r="D389" s="3"/>
      <c r="E389" s="3"/>
      <c r="F389" s="3"/>
      <c r="G389" s="3"/>
      <c r="H389" s="3"/>
      <c r="I389" s="3"/>
      <c r="J389" s="3"/>
      <c r="K389" s="3"/>
      <c r="L389" s="3"/>
      <c r="M389" s="3"/>
      <c r="N389" s="3"/>
      <c r="O389" s="3"/>
      <c r="P389" s="3"/>
    </row>
    <row r="390">
      <c r="A390" s="3"/>
      <c r="B390" s="3"/>
      <c r="C390" s="3"/>
      <c r="D390" s="3"/>
      <c r="E390" s="3"/>
      <c r="F390" s="3"/>
      <c r="G390" s="3"/>
      <c r="H390" s="3"/>
      <c r="I390" s="3"/>
      <c r="J390" s="3"/>
      <c r="K390" s="3"/>
      <c r="L390" s="3"/>
      <c r="M390" s="3"/>
      <c r="N390" s="3"/>
      <c r="O390" s="3"/>
      <c r="P390" s="3"/>
    </row>
    <row r="391">
      <c r="A391" s="3"/>
      <c r="B391" s="3"/>
      <c r="C391" s="3"/>
      <c r="D391" s="3"/>
      <c r="E391" s="3"/>
      <c r="F391" s="3"/>
      <c r="G391" s="3"/>
      <c r="H391" s="3"/>
      <c r="I391" s="3"/>
      <c r="J391" s="3"/>
      <c r="K391" s="3"/>
      <c r="L391" s="3"/>
      <c r="M391" s="3"/>
      <c r="N391" s="3"/>
      <c r="O391" s="3"/>
      <c r="P391" s="3"/>
    </row>
    <row r="392">
      <c r="A392" s="3"/>
      <c r="B392" s="3"/>
      <c r="C392" s="3"/>
      <c r="D392" s="3"/>
      <c r="E392" s="3"/>
      <c r="F392" s="3"/>
      <c r="G392" s="3"/>
      <c r="H392" s="3"/>
      <c r="I392" s="3"/>
      <c r="J392" s="3"/>
      <c r="K392" s="3"/>
      <c r="L392" s="3"/>
      <c r="M392" s="3"/>
      <c r="N392" s="3"/>
      <c r="O392" s="3"/>
      <c r="P392" s="3"/>
    </row>
    <row r="393">
      <c r="A393" s="3"/>
      <c r="B393" s="3"/>
      <c r="C393" s="3"/>
      <c r="D393" s="3"/>
      <c r="E393" s="3"/>
      <c r="F393" s="3"/>
      <c r="G393" s="3"/>
      <c r="H393" s="3"/>
      <c r="I393" s="3"/>
      <c r="J393" s="3"/>
      <c r="K393" s="3"/>
      <c r="L393" s="3"/>
      <c r="M393" s="3"/>
      <c r="N393" s="3"/>
      <c r="O393" s="3"/>
      <c r="P393" s="3"/>
    </row>
    <row r="394">
      <c r="A394" s="3"/>
      <c r="B394" s="3"/>
      <c r="C394" s="3"/>
      <c r="D394" s="3"/>
      <c r="E394" s="3"/>
      <c r="F394" s="3"/>
      <c r="G394" s="3"/>
      <c r="H394" s="3"/>
      <c r="I394" s="3"/>
      <c r="J394" s="3"/>
      <c r="K394" s="3"/>
      <c r="L394" s="3"/>
      <c r="M394" s="3"/>
      <c r="N394" s="3"/>
      <c r="O394" s="3"/>
      <c r="P394" s="3"/>
    </row>
    <row r="395">
      <c r="A395" s="3"/>
      <c r="B395" s="3"/>
      <c r="C395" s="3"/>
      <c r="D395" s="3"/>
      <c r="E395" s="3"/>
      <c r="F395" s="3"/>
      <c r="G395" s="3"/>
      <c r="H395" s="3"/>
      <c r="I395" s="3"/>
      <c r="J395" s="3"/>
      <c r="K395" s="3"/>
      <c r="L395" s="3"/>
      <c r="M395" s="3"/>
      <c r="N395" s="3"/>
      <c r="O395" s="3"/>
      <c r="P395" s="3"/>
    </row>
    <row r="396">
      <c r="A396" s="3"/>
      <c r="B396" s="3"/>
      <c r="C396" s="3"/>
      <c r="D396" s="3"/>
      <c r="E396" s="3"/>
      <c r="F396" s="3"/>
      <c r="G396" s="3"/>
      <c r="H396" s="3"/>
      <c r="I396" s="3"/>
      <c r="J396" s="3"/>
      <c r="K396" s="3"/>
      <c r="L396" s="3"/>
      <c r="M396" s="3"/>
      <c r="N396" s="3"/>
      <c r="O396" s="3"/>
      <c r="P396" s="3"/>
    </row>
    <row r="397">
      <c r="A397" s="3"/>
      <c r="B397" s="3"/>
      <c r="C397" s="3"/>
      <c r="D397" s="3"/>
      <c r="E397" s="3"/>
      <c r="F397" s="3"/>
      <c r="G397" s="3"/>
      <c r="H397" s="3"/>
      <c r="I397" s="3"/>
      <c r="J397" s="3"/>
      <c r="K397" s="3"/>
      <c r="L397" s="3"/>
      <c r="M397" s="3"/>
      <c r="N397" s="3"/>
      <c r="O397" s="3"/>
      <c r="P397" s="3"/>
    </row>
    <row r="398">
      <c r="A398" s="3"/>
      <c r="B398" s="3"/>
      <c r="C398" s="3"/>
      <c r="D398" s="3"/>
      <c r="E398" s="3"/>
      <c r="F398" s="3"/>
      <c r="G398" s="3"/>
      <c r="H398" s="3"/>
      <c r="I398" s="3"/>
      <c r="J398" s="3"/>
      <c r="K398" s="3"/>
      <c r="L398" s="3"/>
      <c r="M398" s="3"/>
      <c r="N398" s="3"/>
      <c r="O398" s="3"/>
      <c r="P398" s="3"/>
    </row>
    <row r="399">
      <c r="A399" s="3"/>
      <c r="B399" s="3"/>
      <c r="C399" s="3"/>
      <c r="D399" s="3"/>
      <c r="E399" s="3"/>
      <c r="F399" s="3"/>
      <c r="G399" s="3"/>
      <c r="H399" s="3"/>
      <c r="I399" s="3"/>
      <c r="J399" s="3"/>
      <c r="K399" s="3"/>
      <c r="L399" s="3"/>
      <c r="M399" s="3"/>
      <c r="N399" s="3"/>
      <c r="O399" s="3"/>
      <c r="P399" s="3"/>
    </row>
    <row r="400">
      <c r="A400" s="3"/>
      <c r="B400" s="3"/>
      <c r="C400" s="3"/>
      <c r="D400" s="3"/>
      <c r="E400" s="3"/>
      <c r="F400" s="3"/>
      <c r="G400" s="3"/>
      <c r="H400" s="3"/>
      <c r="I400" s="3"/>
      <c r="J400" s="3"/>
      <c r="K400" s="3"/>
      <c r="L400" s="3"/>
      <c r="M400" s="3"/>
      <c r="N400" s="3"/>
      <c r="O400" s="3"/>
      <c r="P400" s="3"/>
    </row>
    <row r="401">
      <c r="A401" s="3"/>
      <c r="B401" s="3"/>
      <c r="C401" s="3"/>
      <c r="D401" s="3"/>
      <c r="E401" s="3"/>
      <c r="F401" s="3"/>
      <c r="G401" s="3"/>
      <c r="H401" s="3"/>
      <c r="I401" s="3"/>
      <c r="J401" s="3"/>
      <c r="K401" s="3"/>
      <c r="L401" s="3"/>
      <c r="M401" s="3"/>
      <c r="N401" s="3"/>
      <c r="O401" s="3"/>
      <c r="P401" s="3"/>
    </row>
    <row r="402">
      <c r="A402" s="3"/>
      <c r="B402" s="3"/>
      <c r="C402" s="3"/>
      <c r="D402" s="3"/>
      <c r="E402" s="3"/>
      <c r="F402" s="3"/>
      <c r="G402" s="3"/>
      <c r="H402" s="3"/>
      <c r="I402" s="3"/>
      <c r="J402" s="3"/>
      <c r="K402" s="3"/>
      <c r="L402" s="3"/>
      <c r="M402" s="3"/>
      <c r="N402" s="3"/>
      <c r="O402" s="3"/>
      <c r="P402" s="3"/>
    </row>
    <row r="403">
      <c r="A403" s="3"/>
      <c r="B403" s="3"/>
      <c r="C403" s="3"/>
      <c r="D403" s="3"/>
      <c r="E403" s="3"/>
      <c r="F403" s="3"/>
      <c r="G403" s="3"/>
      <c r="H403" s="3"/>
      <c r="I403" s="3"/>
      <c r="J403" s="3"/>
      <c r="K403" s="3"/>
      <c r="L403" s="3"/>
      <c r="M403" s="3"/>
      <c r="N403" s="3"/>
      <c r="O403" s="3"/>
      <c r="P403" s="3"/>
    </row>
    <row r="404">
      <c r="A404" s="3"/>
      <c r="B404" s="3"/>
      <c r="C404" s="3"/>
      <c r="D404" s="3"/>
      <c r="E404" s="3"/>
      <c r="F404" s="3"/>
      <c r="G404" s="3"/>
      <c r="H404" s="3"/>
      <c r="I404" s="3"/>
      <c r="J404" s="3"/>
      <c r="K404" s="3"/>
      <c r="L404" s="3"/>
      <c r="M404" s="3"/>
      <c r="N404" s="3"/>
      <c r="O404" s="3"/>
      <c r="P404" s="3"/>
    </row>
    <row r="405">
      <c r="A405" s="3"/>
      <c r="B405" s="3"/>
      <c r="C405" s="3"/>
      <c r="D405" s="3"/>
      <c r="E405" s="3"/>
      <c r="F405" s="3"/>
      <c r="G405" s="3"/>
      <c r="H405" s="3"/>
      <c r="I405" s="3"/>
      <c r="J405" s="3"/>
      <c r="K405" s="3"/>
      <c r="L405" s="3"/>
      <c r="M405" s="3"/>
      <c r="N405" s="3"/>
      <c r="O405" s="3"/>
      <c r="P405" s="3"/>
    </row>
    <row r="406">
      <c r="A406" s="3"/>
      <c r="B406" s="3"/>
      <c r="C406" s="3"/>
      <c r="D406" s="3"/>
      <c r="E406" s="3"/>
      <c r="F406" s="3"/>
      <c r="G406" s="3"/>
      <c r="H406" s="3"/>
      <c r="I406" s="3"/>
      <c r="J406" s="3"/>
      <c r="K406" s="3"/>
      <c r="L406" s="3"/>
      <c r="M406" s="3"/>
      <c r="N406" s="3"/>
      <c r="O406" s="3"/>
      <c r="P406" s="3"/>
    </row>
    <row r="407">
      <c r="A407" s="3"/>
      <c r="B407" s="3"/>
      <c r="C407" s="3"/>
      <c r="D407" s="3"/>
      <c r="E407" s="3"/>
      <c r="F407" s="3"/>
      <c r="G407" s="3"/>
      <c r="H407" s="3"/>
      <c r="I407" s="3"/>
      <c r="J407" s="3"/>
      <c r="K407" s="3"/>
      <c r="L407" s="3"/>
      <c r="M407" s="3"/>
      <c r="N407" s="3"/>
      <c r="O407" s="3"/>
      <c r="P407" s="3"/>
    </row>
    <row r="408">
      <c r="A408" s="3"/>
      <c r="B408" s="3"/>
      <c r="C408" s="3"/>
      <c r="D408" s="3"/>
      <c r="E408" s="3"/>
      <c r="F408" s="3"/>
      <c r="G408" s="3"/>
      <c r="H408" s="3"/>
      <c r="I408" s="3"/>
      <c r="J408" s="3"/>
      <c r="K408" s="3"/>
      <c r="L408" s="3"/>
      <c r="M408" s="3"/>
      <c r="N408" s="3"/>
      <c r="O408" s="3"/>
      <c r="P408" s="3"/>
    </row>
    <row r="409">
      <c r="A409" s="3"/>
      <c r="B409" s="3"/>
      <c r="C409" s="3"/>
      <c r="D409" s="3"/>
      <c r="E409" s="3"/>
      <c r="F409" s="3"/>
      <c r="G409" s="3"/>
      <c r="H409" s="3"/>
      <c r="I409" s="3"/>
      <c r="J409" s="3"/>
      <c r="K409" s="3"/>
      <c r="L409" s="3"/>
      <c r="M409" s="3"/>
      <c r="N409" s="3"/>
      <c r="O409" s="3"/>
      <c r="P409" s="3"/>
    </row>
    <row r="410">
      <c r="A410" s="3"/>
      <c r="B410" s="3"/>
      <c r="C410" s="3"/>
      <c r="D410" s="3"/>
      <c r="E410" s="3"/>
      <c r="F410" s="3"/>
      <c r="G410" s="3"/>
      <c r="H410" s="3"/>
      <c r="I410" s="3"/>
      <c r="J410" s="3"/>
      <c r="K410" s="3"/>
      <c r="L410" s="3"/>
      <c r="M410" s="3"/>
      <c r="N410" s="3"/>
      <c r="O410" s="3"/>
      <c r="P410" s="3"/>
    </row>
    <row r="411">
      <c r="A411" s="3"/>
      <c r="B411" s="3"/>
      <c r="C411" s="3"/>
      <c r="D411" s="3"/>
      <c r="E411" s="3"/>
      <c r="F411" s="3"/>
      <c r="G411" s="3"/>
      <c r="H411" s="3"/>
      <c r="I411" s="3"/>
      <c r="J411" s="3"/>
      <c r="K411" s="3"/>
      <c r="L411" s="3"/>
      <c r="M411" s="3"/>
      <c r="N411" s="3"/>
      <c r="O411" s="3"/>
      <c r="P411" s="3"/>
    </row>
    <row r="412">
      <c r="A412" s="3"/>
      <c r="B412" s="3"/>
      <c r="C412" s="3"/>
      <c r="D412" s="3"/>
      <c r="E412" s="3"/>
      <c r="F412" s="3"/>
      <c r="G412" s="3"/>
      <c r="H412" s="3"/>
      <c r="I412" s="3"/>
      <c r="J412" s="3"/>
      <c r="K412" s="3"/>
      <c r="L412" s="3"/>
      <c r="M412" s="3"/>
      <c r="N412" s="3"/>
      <c r="O412" s="3"/>
      <c r="P412" s="3"/>
    </row>
    <row r="413">
      <c r="A413" s="3"/>
      <c r="B413" s="3"/>
      <c r="C413" s="3"/>
      <c r="D413" s="3"/>
      <c r="E413" s="3"/>
      <c r="F413" s="3"/>
      <c r="G413" s="3"/>
      <c r="H413" s="3"/>
      <c r="I413" s="3"/>
      <c r="J413" s="3"/>
      <c r="K413" s="3"/>
      <c r="L413" s="3"/>
      <c r="M413" s="3"/>
      <c r="N413" s="3"/>
      <c r="O413" s="3"/>
      <c r="P413" s="3"/>
    </row>
    <row r="414">
      <c r="A414" s="3"/>
      <c r="B414" s="3"/>
      <c r="C414" s="3"/>
      <c r="D414" s="3"/>
      <c r="E414" s="3"/>
      <c r="F414" s="3"/>
      <c r="G414" s="3"/>
      <c r="H414" s="3"/>
      <c r="I414" s="3"/>
      <c r="J414" s="3"/>
      <c r="K414" s="3"/>
      <c r="L414" s="3"/>
      <c r="M414" s="3"/>
      <c r="N414" s="3"/>
      <c r="O414" s="3"/>
      <c r="P414" s="3"/>
    </row>
    <row r="415">
      <c r="A415" s="3"/>
      <c r="B415" s="3"/>
      <c r="C415" s="3"/>
      <c r="D415" s="3"/>
      <c r="E415" s="3"/>
      <c r="F415" s="3"/>
      <c r="G415" s="3"/>
      <c r="H415" s="3"/>
      <c r="I415" s="3"/>
      <c r="J415" s="3"/>
      <c r="K415" s="3"/>
      <c r="L415" s="3"/>
      <c r="M415" s="3"/>
      <c r="N415" s="3"/>
      <c r="O415" s="3"/>
      <c r="P415" s="3"/>
    </row>
    <row r="416">
      <c r="A416" s="3"/>
      <c r="B416" s="3"/>
      <c r="C416" s="3"/>
      <c r="D416" s="3"/>
      <c r="E416" s="3"/>
      <c r="F416" s="3"/>
      <c r="G416" s="3"/>
      <c r="H416" s="3"/>
      <c r="I416" s="3"/>
      <c r="J416" s="3"/>
      <c r="K416" s="3"/>
      <c r="L416" s="3"/>
      <c r="M416" s="3"/>
      <c r="N416" s="3"/>
      <c r="O416" s="3"/>
      <c r="P416" s="3"/>
    </row>
    <row r="417">
      <c r="A417" s="3"/>
      <c r="B417" s="3"/>
      <c r="C417" s="3"/>
      <c r="D417" s="3"/>
      <c r="E417" s="3"/>
      <c r="F417" s="3"/>
      <c r="G417" s="3"/>
      <c r="H417" s="3"/>
      <c r="I417" s="3"/>
      <c r="J417" s="3"/>
      <c r="K417" s="3"/>
      <c r="L417" s="3"/>
      <c r="M417" s="3"/>
      <c r="N417" s="3"/>
      <c r="O417" s="3"/>
      <c r="P417" s="3"/>
    </row>
    <row r="418">
      <c r="A418" s="3"/>
      <c r="B418" s="3"/>
      <c r="C418" s="3"/>
      <c r="D418" s="3"/>
      <c r="E418" s="3"/>
      <c r="F418" s="3"/>
      <c r="G418" s="3"/>
      <c r="H418" s="3"/>
      <c r="I418" s="3"/>
      <c r="J418" s="3"/>
      <c r="K418" s="3"/>
      <c r="L418" s="3"/>
      <c r="M418" s="3"/>
      <c r="N418" s="3"/>
      <c r="O418" s="3"/>
      <c r="P418" s="3"/>
    </row>
    <row r="419">
      <c r="A419" s="3"/>
      <c r="B419" s="3"/>
      <c r="C419" s="3"/>
      <c r="D419" s="3"/>
      <c r="E419" s="3"/>
      <c r="F419" s="3"/>
      <c r="G419" s="3"/>
      <c r="H419" s="3"/>
      <c r="I419" s="3"/>
      <c r="J419" s="3"/>
      <c r="K419" s="3"/>
      <c r="L419" s="3"/>
      <c r="M419" s="3"/>
      <c r="N419" s="3"/>
      <c r="O419" s="3"/>
      <c r="P419" s="3"/>
    </row>
    <row r="420">
      <c r="A420" s="3"/>
      <c r="B420" s="3"/>
      <c r="C420" s="3"/>
      <c r="D420" s="3"/>
      <c r="E420" s="3"/>
      <c r="F420" s="3"/>
      <c r="G420" s="3"/>
      <c r="H420" s="3"/>
      <c r="I420" s="3"/>
      <c r="J420" s="3"/>
      <c r="K420" s="3"/>
      <c r="L420" s="3"/>
      <c r="M420" s="3"/>
      <c r="N420" s="3"/>
      <c r="O420" s="3"/>
      <c r="P420" s="3"/>
    </row>
    <row r="421">
      <c r="A421" s="3"/>
      <c r="B421" s="3"/>
      <c r="C421" s="3"/>
      <c r="D421" s="3"/>
      <c r="E421" s="3"/>
      <c r="F421" s="3"/>
      <c r="G421" s="3"/>
      <c r="H421" s="3"/>
      <c r="I421" s="3"/>
      <c r="J421" s="3"/>
      <c r="K421" s="3"/>
      <c r="L421" s="3"/>
      <c r="M421" s="3"/>
      <c r="N421" s="3"/>
      <c r="O421" s="3"/>
      <c r="P421" s="3"/>
    </row>
    <row r="422">
      <c r="A422" s="3"/>
      <c r="B422" s="3"/>
      <c r="C422" s="3"/>
      <c r="D422" s="3"/>
      <c r="E422" s="3"/>
      <c r="F422" s="3"/>
      <c r="G422" s="3"/>
      <c r="H422" s="3"/>
      <c r="I422" s="3"/>
      <c r="J422" s="3"/>
      <c r="K422" s="3"/>
      <c r="L422" s="3"/>
      <c r="M422" s="3"/>
      <c r="N422" s="3"/>
      <c r="O422" s="3"/>
      <c r="P422" s="3"/>
    </row>
    <row r="423">
      <c r="A423" s="3"/>
      <c r="B423" s="3"/>
      <c r="C423" s="3"/>
      <c r="D423" s="3"/>
      <c r="E423" s="3"/>
      <c r="F423" s="3"/>
      <c r="G423" s="3"/>
      <c r="H423" s="3"/>
      <c r="I423" s="3"/>
      <c r="J423" s="3"/>
      <c r="K423" s="3"/>
      <c r="L423" s="3"/>
      <c r="M423" s="3"/>
      <c r="N423" s="3"/>
      <c r="O423" s="3"/>
      <c r="P423" s="3"/>
    </row>
    <row r="424">
      <c r="A424" s="3"/>
      <c r="B424" s="3"/>
      <c r="C424" s="3"/>
      <c r="D424" s="3"/>
      <c r="E424" s="3"/>
      <c r="F424" s="3"/>
      <c r="G424" s="3"/>
      <c r="H424" s="3"/>
      <c r="I424" s="3"/>
      <c r="J424" s="3"/>
      <c r="K424" s="3"/>
      <c r="L424" s="3"/>
      <c r="M424" s="3"/>
      <c r="N424" s="3"/>
      <c r="O424" s="3"/>
      <c r="P424" s="3"/>
    </row>
    <row r="425">
      <c r="A425" s="3"/>
      <c r="B425" s="3"/>
      <c r="C425" s="3"/>
      <c r="D425" s="3"/>
      <c r="E425" s="3"/>
      <c r="F425" s="3"/>
      <c r="G425" s="3"/>
      <c r="H425" s="3"/>
      <c r="I425" s="3"/>
      <c r="J425" s="3"/>
      <c r="K425" s="3"/>
      <c r="L425" s="3"/>
      <c r="M425" s="3"/>
      <c r="N425" s="3"/>
      <c r="O425" s="3"/>
      <c r="P425" s="3"/>
    </row>
    <row r="426">
      <c r="A426" s="3"/>
      <c r="B426" s="3"/>
      <c r="C426" s="3"/>
      <c r="D426" s="3"/>
      <c r="E426" s="3"/>
      <c r="F426" s="3"/>
      <c r="G426" s="3"/>
      <c r="H426" s="3"/>
      <c r="I426" s="3"/>
      <c r="J426" s="3"/>
      <c r="K426" s="3"/>
      <c r="L426" s="3"/>
      <c r="M426" s="3"/>
      <c r="N426" s="3"/>
      <c r="O426" s="3"/>
      <c r="P426" s="3"/>
    </row>
    <row r="427">
      <c r="A427" s="3"/>
      <c r="B427" s="3"/>
      <c r="C427" s="3"/>
      <c r="D427" s="3"/>
      <c r="E427" s="3"/>
      <c r="F427" s="3"/>
      <c r="G427" s="3"/>
      <c r="H427" s="3"/>
      <c r="I427" s="3"/>
      <c r="J427" s="3"/>
      <c r="K427" s="3"/>
      <c r="L427" s="3"/>
      <c r="M427" s="3"/>
      <c r="N427" s="3"/>
      <c r="O427" s="3"/>
      <c r="P427" s="3"/>
    </row>
    <row r="428">
      <c r="A428" s="3"/>
      <c r="B428" s="3"/>
      <c r="C428" s="3"/>
      <c r="D428" s="3"/>
      <c r="E428" s="3"/>
      <c r="F428" s="3"/>
      <c r="G428" s="3"/>
      <c r="H428" s="3"/>
      <c r="I428" s="3"/>
      <c r="J428" s="3"/>
      <c r="K428" s="3"/>
      <c r="L428" s="3"/>
      <c r="M428" s="3"/>
      <c r="N428" s="3"/>
      <c r="O428" s="3"/>
      <c r="P428" s="3"/>
    </row>
    <row r="429">
      <c r="A429" s="3"/>
      <c r="B429" s="3"/>
      <c r="C429" s="3"/>
      <c r="D429" s="3"/>
      <c r="E429" s="3"/>
      <c r="F429" s="3"/>
      <c r="G429" s="3"/>
      <c r="H429" s="3"/>
      <c r="I429" s="3"/>
      <c r="J429" s="3"/>
      <c r="K429" s="3"/>
      <c r="L429" s="3"/>
      <c r="M429" s="3"/>
      <c r="N429" s="3"/>
      <c r="O429" s="3"/>
      <c r="P429" s="3"/>
    </row>
    <row r="430">
      <c r="A430" s="3"/>
      <c r="B430" s="3"/>
      <c r="C430" s="3"/>
      <c r="D430" s="3"/>
      <c r="E430" s="3"/>
      <c r="F430" s="3"/>
      <c r="G430" s="3"/>
      <c r="H430" s="3"/>
      <c r="I430" s="3"/>
      <c r="J430" s="3"/>
      <c r="K430" s="3"/>
      <c r="L430" s="3"/>
      <c r="M430" s="3"/>
      <c r="N430" s="3"/>
      <c r="O430" s="3"/>
      <c r="P430" s="3"/>
    </row>
    <row r="431">
      <c r="A431" s="3"/>
      <c r="B431" s="3"/>
      <c r="C431" s="3"/>
      <c r="D431" s="3"/>
      <c r="E431" s="3"/>
      <c r="F431" s="3"/>
      <c r="G431" s="3"/>
      <c r="H431" s="3"/>
      <c r="I431" s="3"/>
      <c r="J431" s="3"/>
      <c r="K431" s="3"/>
      <c r="L431" s="3"/>
      <c r="M431" s="3"/>
      <c r="N431" s="3"/>
      <c r="O431" s="3"/>
      <c r="P431" s="3"/>
    </row>
    <row r="432">
      <c r="A432" s="3"/>
      <c r="B432" s="3"/>
      <c r="C432" s="3"/>
      <c r="D432" s="3"/>
      <c r="E432" s="3"/>
      <c r="F432" s="3"/>
      <c r="G432" s="3"/>
      <c r="H432" s="3"/>
      <c r="I432" s="3"/>
      <c r="J432" s="3"/>
      <c r="K432" s="3"/>
      <c r="L432" s="3"/>
      <c r="M432" s="3"/>
      <c r="N432" s="3"/>
      <c r="O432" s="3"/>
      <c r="P432" s="3"/>
    </row>
    <row r="433">
      <c r="A433" s="3"/>
      <c r="B433" s="3"/>
      <c r="C433" s="3"/>
      <c r="D433" s="3"/>
      <c r="E433" s="3"/>
      <c r="F433" s="3"/>
      <c r="G433" s="3"/>
      <c r="H433" s="3"/>
      <c r="I433" s="3"/>
      <c r="J433" s="3"/>
      <c r="K433" s="3"/>
      <c r="L433" s="3"/>
      <c r="M433" s="3"/>
      <c r="N433" s="3"/>
      <c r="O433" s="3"/>
      <c r="P433" s="3"/>
    </row>
    <row r="434">
      <c r="A434" s="3"/>
      <c r="B434" s="3"/>
      <c r="C434" s="3"/>
      <c r="D434" s="3"/>
      <c r="E434" s="3"/>
      <c r="F434" s="3"/>
      <c r="G434" s="3"/>
      <c r="H434" s="3"/>
      <c r="I434" s="3"/>
      <c r="J434" s="3"/>
      <c r="K434" s="3"/>
      <c r="L434" s="3"/>
      <c r="M434" s="3"/>
      <c r="N434" s="3"/>
      <c r="O434" s="3"/>
      <c r="P434" s="3"/>
    </row>
    <row r="435">
      <c r="A435" s="3"/>
      <c r="B435" s="3"/>
      <c r="C435" s="3"/>
      <c r="D435" s="3"/>
      <c r="E435" s="3"/>
      <c r="F435" s="3"/>
      <c r="G435" s="3"/>
      <c r="H435" s="3"/>
      <c r="I435" s="3"/>
      <c r="J435" s="3"/>
      <c r="K435" s="3"/>
      <c r="L435" s="3"/>
      <c r="M435" s="3"/>
      <c r="N435" s="3"/>
      <c r="O435" s="3"/>
      <c r="P435" s="3"/>
    </row>
    <row r="436">
      <c r="A436" s="3"/>
      <c r="B436" s="3"/>
      <c r="C436" s="3"/>
      <c r="D436" s="3"/>
      <c r="E436" s="3"/>
      <c r="F436" s="3"/>
      <c r="G436" s="3"/>
      <c r="H436" s="3"/>
      <c r="I436" s="3"/>
      <c r="J436" s="3"/>
      <c r="K436" s="3"/>
      <c r="L436" s="3"/>
      <c r="M436" s="3"/>
      <c r="N436" s="3"/>
      <c r="O436" s="3"/>
      <c r="P436" s="3"/>
    </row>
    <row r="437">
      <c r="A437" s="3"/>
      <c r="B437" s="3"/>
      <c r="C437" s="3"/>
      <c r="D437" s="3"/>
      <c r="E437" s="3"/>
      <c r="F437" s="3"/>
      <c r="G437" s="3"/>
      <c r="H437" s="3"/>
      <c r="I437" s="3"/>
      <c r="J437" s="3"/>
      <c r="K437" s="3"/>
      <c r="L437" s="3"/>
      <c r="M437" s="3"/>
      <c r="N437" s="3"/>
      <c r="O437" s="3"/>
      <c r="P437" s="3"/>
    </row>
    <row r="438">
      <c r="A438" s="3"/>
      <c r="B438" s="3"/>
      <c r="C438" s="3"/>
      <c r="D438" s="3"/>
      <c r="E438" s="3"/>
      <c r="F438" s="3"/>
      <c r="G438" s="3"/>
      <c r="H438" s="3"/>
      <c r="I438" s="3"/>
      <c r="J438" s="3"/>
      <c r="K438" s="3"/>
      <c r="L438" s="3"/>
      <c r="M438" s="3"/>
      <c r="N438" s="3"/>
      <c r="O438" s="3"/>
      <c r="P438" s="3"/>
    </row>
    <row r="439">
      <c r="A439" s="3"/>
      <c r="B439" s="3"/>
      <c r="C439" s="3"/>
      <c r="D439" s="3"/>
      <c r="E439" s="3"/>
      <c r="F439" s="3"/>
      <c r="G439" s="3"/>
      <c r="H439" s="3"/>
      <c r="I439" s="3"/>
      <c r="J439" s="3"/>
      <c r="K439" s="3"/>
      <c r="L439" s="3"/>
      <c r="M439" s="3"/>
      <c r="N439" s="3"/>
      <c r="O439" s="3"/>
      <c r="P439" s="3"/>
    </row>
    <row r="440">
      <c r="A440" s="3"/>
      <c r="B440" s="3"/>
      <c r="C440" s="3"/>
      <c r="D440" s="3"/>
      <c r="E440" s="3"/>
      <c r="F440" s="3"/>
      <c r="G440" s="3"/>
      <c r="H440" s="3"/>
      <c r="I440" s="3"/>
      <c r="J440" s="3"/>
      <c r="K440" s="3"/>
      <c r="L440" s="3"/>
      <c r="M440" s="3"/>
      <c r="N440" s="3"/>
      <c r="O440" s="3"/>
      <c r="P440" s="3"/>
    </row>
    <row r="441">
      <c r="A441" s="3"/>
      <c r="B441" s="3"/>
      <c r="C441" s="3"/>
      <c r="D441" s="3"/>
      <c r="E441" s="3"/>
      <c r="F441" s="3"/>
      <c r="G441" s="3"/>
      <c r="H441" s="3"/>
      <c r="I441" s="3"/>
      <c r="J441" s="3"/>
      <c r="K441" s="3"/>
      <c r="L441" s="3"/>
      <c r="M441" s="3"/>
      <c r="N441" s="3"/>
      <c r="O441" s="3"/>
      <c r="P441" s="3"/>
    </row>
    <row r="442">
      <c r="A442" s="3"/>
      <c r="B442" s="3"/>
      <c r="C442" s="3"/>
      <c r="D442" s="3"/>
      <c r="E442" s="3"/>
      <c r="F442" s="3"/>
      <c r="G442" s="3"/>
      <c r="H442" s="3"/>
      <c r="I442" s="3"/>
      <c r="J442" s="3"/>
      <c r="K442" s="3"/>
      <c r="L442" s="3"/>
      <c r="M442" s="3"/>
      <c r="N442" s="3"/>
      <c r="O442" s="3"/>
      <c r="P442" s="3"/>
    </row>
    <row r="443">
      <c r="A443" s="3"/>
      <c r="B443" s="3"/>
      <c r="C443" s="3"/>
      <c r="D443" s="3"/>
      <c r="E443" s="3"/>
      <c r="F443" s="3"/>
      <c r="G443" s="3"/>
      <c r="H443" s="3"/>
      <c r="I443" s="3"/>
      <c r="J443" s="3"/>
      <c r="K443" s="3"/>
      <c r="L443" s="3"/>
      <c r="M443" s="3"/>
      <c r="N443" s="3"/>
      <c r="O443" s="3"/>
      <c r="P443" s="3"/>
    </row>
    <row r="444">
      <c r="A444" s="3"/>
      <c r="B444" s="3"/>
      <c r="C444" s="3"/>
      <c r="D444" s="3"/>
      <c r="E444" s="3"/>
      <c r="F444" s="3"/>
      <c r="G444" s="3"/>
      <c r="H444" s="3"/>
      <c r="I444" s="3"/>
      <c r="J444" s="3"/>
      <c r="K444" s="3"/>
      <c r="L444" s="3"/>
      <c r="M444" s="3"/>
      <c r="N444" s="3"/>
      <c r="O444" s="3"/>
      <c r="P444" s="3"/>
    </row>
    <row r="445">
      <c r="A445" s="3"/>
      <c r="B445" s="3"/>
      <c r="C445" s="3"/>
      <c r="D445" s="3"/>
      <c r="E445" s="3"/>
      <c r="F445" s="3"/>
      <c r="G445" s="3"/>
      <c r="H445" s="3"/>
      <c r="I445" s="3"/>
      <c r="J445" s="3"/>
      <c r="K445" s="3"/>
      <c r="L445" s="3"/>
      <c r="M445" s="3"/>
      <c r="N445" s="3"/>
      <c r="O445" s="3"/>
      <c r="P445" s="3"/>
    </row>
    <row r="446">
      <c r="A446" s="3"/>
      <c r="B446" s="3"/>
      <c r="C446" s="3"/>
      <c r="D446" s="3"/>
      <c r="E446" s="3"/>
      <c r="F446" s="3"/>
      <c r="G446" s="3"/>
      <c r="H446" s="3"/>
      <c r="I446" s="3"/>
      <c r="J446" s="3"/>
      <c r="K446" s="3"/>
      <c r="L446" s="3"/>
      <c r="M446" s="3"/>
      <c r="N446" s="3"/>
      <c r="O446" s="3"/>
      <c r="P446" s="3"/>
    </row>
    <row r="447">
      <c r="A447" s="3"/>
      <c r="B447" s="3"/>
      <c r="C447" s="3"/>
      <c r="D447" s="3"/>
      <c r="E447" s="3"/>
      <c r="F447" s="3"/>
      <c r="G447" s="3"/>
      <c r="H447" s="3"/>
      <c r="I447" s="3"/>
      <c r="J447" s="3"/>
      <c r="K447" s="3"/>
      <c r="L447" s="3"/>
      <c r="M447" s="3"/>
      <c r="N447" s="3"/>
      <c r="O447" s="3"/>
      <c r="P447" s="3"/>
    </row>
    <row r="448">
      <c r="A448" s="3"/>
      <c r="B448" s="3"/>
      <c r="C448" s="3"/>
      <c r="D448" s="3"/>
      <c r="E448" s="3"/>
      <c r="F448" s="3"/>
      <c r="G448" s="3"/>
      <c r="H448" s="3"/>
      <c r="I448" s="3"/>
      <c r="J448" s="3"/>
      <c r="K448" s="3"/>
      <c r="L448" s="3"/>
      <c r="M448" s="3"/>
      <c r="N448" s="3"/>
      <c r="O448" s="3"/>
      <c r="P448" s="3"/>
    </row>
    <row r="449">
      <c r="A449" s="3"/>
      <c r="B449" s="3"/>
      <c r="C449" s="3"/>
      <c r="D449" s="3"/>
      <c r="E449" s="3"/>
      <c r="F449" s="3"/>
      <c r="G449" s="3"/>
      <c r="H449" s="3"/>
      <c r="I449" s="3"/>
      <c r="J449" s="3"/>
      <c r="K449" s="3"/>
      <c r="L449" s="3"/>
      <c r="M449" s="3"/>
      <c r="N449" s="3"/>
      <c r="O449" s="3"/>
      <c r="P449" s="3"/>
    </row>
    <row r="450">
      <c r="A450" s="3"/>
      <c r="B450" s="3"/>
      <c r="C450" s="3"/>
      <c r="D450" s="3"/>
      <c r="E450" s="3"/>
      <c r="F450" s="3"/>
      <c r="G450" s="3"/>
      <c r="H450" s="3"/>
      <c r="I450" s="3"/>
      <c r="J450" s="3"/>
      <c r="K450" s="3"/>
      <c r="L450" s="3"/>
      <c r="M450" s="3"/>
      <c r="N450" s="3"/>
      <c r="O450" s="3"/>
      <c r="P450" s="3"/>
    </row>
    <row r="451">
      <c r="A451" s="3"/>
      <c r="B451" s="3"/>
      <c r="C451" s="3"/>
      <c r="D451" s="3"/>
      <c r="E451" s="3"/>
      <c r="F451" s="3"/>
      <c r="G451" s="3"/>
      <c r="H451" s="3"/>
      <c r="I451" s="3"/>
      <c r="J451" s="3"/>
      <c r="K451" s="3"/>
      <c r="L451" s="3"/>
      <c r="M451" s="3"/>
      <c r="N451" s="3"/>
      <c r="O451" s="3"/>
      <c r="P451" s="3"/>
    </row>
    <row r="452">
      <c r="A452" s="3"/>
      <c r="B452" s="3"/>
      <c r="C452" s="3"/>
      <c r="D452" s="3"/>
      <c r="E452" s="3"/>
      <c r="F452" s="3"/>
      <c r="G452" s="3"/>
      <c r="H452" s="3"/>
      <c r="I452" s="3"/>
      <c r="J452" s="3"/>
      <c r="K452" s="3"/>
      <c r="L452" s="3"/>
      <c r="M452" s="3"/>
      <c r="N452" s="3"/>
      <c r="O452" s="3"/>
      <c r="P452" s="3"/>
    </row>
    <row r="453">
      <c r="A453" s="3"/>
      <c r="B453" s="3"/>
      <c r="C453" s="3"/>
      <c r="D453" s="3"/>
      <c r="E453" s="3"/>
      <c r="F453" s="3"/>
      <c r="G453" s="3"/>
      <c r="H453" s="3"/>
      <c r="I453" s="3"/>
      <c r="J453" s="3"/>
      <c r="K453" s="3"/>
      <c r="L453" s="3"/>
      <c r="M453" s="3"/>
      <c r="N453" s="3"/>
      <c r="O453" s="3"/>
      <c r="P453" s="3"/>
    </row>
    <row r="454">
      <c r="A454" s="3"/>
      <c r="B454" s="3"/>
      <c r="C454" s="3"/>
      <c r="D454" s="3"/>
      <c r="E454" s="3"/>
      <c r="F454" s="3"/>
      <c r="G454" s="3"/>
      <c r="H454" s="3"/>
      <c r="I454" s="3"/>
      <c r="J454" s="3"/>
      <c r="K454" s="3"/>
      <c r="L454" s="3"/>
      <c r="M454" s="3"/>
      <c r="N454" s="3"/>
      <c r="O454" s="3"/>
      <c r="P454" s="3"/>
    </row>
    <row r="455">
      <c r="A455" s="3"/>
      <c r="B455" s="3"/>
      <c r="C455" s="3"/>
      <c r="D455" s="3"/>
      <c r="E455" s="3"/>
      <c r="F455" s="3"/>
      <c r="G455" s="3"/>
      <c r="H455" s="3"/>
      <c r="I455" s="3"/>
      <c r="J455" s="3"/>
      <c r="K455" s="3"/>
      <c r="L455" s="3"/>
      <c r="M455" s="3"/>
      <c r="N455" s="3"/>
      <c r="O455" s="3"/>
      <c r="P455" s="3"/>
    </row>
    <row r="456">
      <c r="A456" s="3"/>
      <c r="B456" s="3"/>
      <c r="C456" s="3"/>
      <c r="D456" s="3"/>
      <c r="E456" s="3"/>
      <c r="F456" s="3"/>
      <c r="G456" s="3"/>
      <c r="H456" s="3"/>
      <c r="I456" s="3"/>
      <c r="J456" s="3"/>
      <c r="K456" s="3"/>
      <c r="L456" s="3"/>
      <c r="M456" s="3"/>
      <c r="N456" s="3"/>
      <c r="O456" s="3"/>
      <c r="P456" s="3"/>
    </row>
    <row r="457">
      <c r="A457" s="3"/>
      <c r="B457" s="3"/>
      <c r="C457" s="3"/>
      <c r="D457" s="3"/>
      <c r="E457" s="3"/>
      <c r="F457" s="3"/>
      <c r="G457" s="3"/>
      <c r="H457" s="3"/>
      <c r="I457" s="3"/>
      <c r="J457" s="3"/>
      <c r="K457" s="3"/>
      <c r="L457" s="3"/>
      <c r="M457" s="3"/>
      <c r="N457" s="3"/>
      <c r="O457" s="3"/>
      <c r="P457" s="3"/>
    </row>
    <row r="458">
      <c r="A458" s="3"/>
      <c r="B458" s="3"/>
      <c r="C458" s="3"/>
      <c r="D458" s="3"/>
      <c r="E458" s="3"/>
      <c r="F458" s="3"/>
      <c r="G458" s="3"/>
      <c r="H458" s="3"/>
      <c r="I458" s="3"/>
      <c r="J458" s="3"/>
      <c r="K458" s="3"/>
      <c r="L458" s="3"/>
      <c r="M458" s="3"/>
      <c r="N458" s="3"/>
      <c r="O458" s="3"/>
      <c r="P458" s="3"/>
    </row>
    <row r="459">
      <c r="A459" s="3"/>
      <c r="B459" s="3"/>
      <c r="C459" s="3"/>
      <c r="D459" s="3"/>
      <c r="E459" s="3"/>
      <c r="F459" s="3"/>
      <c r="G459" s="3"/>
      <c r="H459" s="3"/>
      <c r="I459" s="3"/>
      <c r="J459" s="3"/>
      <c r="K459" s="3"/>
      <c r="L459" s="3"/>
      <c r="M459" s="3"/>
      <c r="N459" s="3"/>
      <c r="O459" s="3"/>
      <c r="P459" s="3"/>
    </row>
    <row r="460">
      <c r="A460" s="3"/>
      <c r="B460" s="3"/>
      <c r="C460" s="3"/>
      <c r="D460" s="3"/>
      <c r="E460" s="3"/>
      <c r="F460" s="3"/>
      <c r="G460" s="3"/>
      <c r="H460" s="3"/>
      <c r="I460" s="3"/>
      <c r="J460" s="3"/>
      <c r="K460" s="3"/>
      <c r="L460" s="3"/>
      <c r="M460" s="3"/>
      <c r="N460" s="3"/>
      <c r="O460" s="3"/>
      <c r="P460" s="3"/>
    </row>
    <row r="461">
      <c r="A461" s="3"/>
      <c r="B461" s="3"/>
      <c r="C461" s="3"/>
      <c r="D461" s="3"/>
      <c r="E461" s="3"/>
      <c r="F461" s="3"/>
      <c r="G461" s="3"/>
      <c r="H461" s="3"/>
      <c r="I461" s="3"/>
      <c r="J461" s="3"/>
      <c r="K461" s="3"/>
      <c r="L461" s="3"/>
      <c r="M461" s="3"/>
      <c r="N461" s="3"/>
      <c r="O461" s="3"/>
      <c r="P461" s="3"/>
    </row>
    <row r="462">
      <c r="A462" s="3"/>
      <c r="B462" s="3"/>
      <c r="C462" s="3"/>
      <c r="D462" s="3"/>
      <c r="E462" s="3"/>
      <c r="F462" s="3"/>
      <c r="G462" s="3"/>
      <c r="H462" s="3"/>
      <c r="I462" s="3"/>
      <c r="J462" s="3"/>
      <c r="K462" s="3"/>
      <c r="L462" s="3"/>
      <c r="M462" s="3"/>
      <c r="N462" s="3"/>
      <c r="O462" s="3"/>
      <c r="P462" s="3"/>
    </row>
    <row r="463">
      <c r="A463" s="3"/>
      <c r="B463" s="3"/>
      <c r="C463" s="3"/>
      <c r="D463" s="3"/>
      <c r="E463" s="3"/>
      <c r="F463" s="3"/>
      <c r="G463" s="3"/>
      <c r="H463" s="3"/>
      <c r="I463" s="3"/>
      <c r="J463" s="3"/>
      <c r="K463" s="3"/>
      <c r="L463" s="3"/>
      <c r="M463" s="3"/>
      <c r="N463" s="3"/>
      <c r="O463" s="3"/>
      <c r="P463" s="3"/>
    </row>
    <row r="464">
      <c r="A464" s="3"/>
      <c r="B464" s="3"/>
      <c r="C464" s="3"/>
      <c r="D464" s="3"/>
      <c r="E464" s="3"/>
      <c r="F464" s="3"/>
      <c r="G464" s="3"/>
      <c r="H464" s="3"/>
      <c r="I464" s="3"/>
      <c r="J464" s="3"/>
      <c r="K464" s="3"/>
      <c r="L464" s="3"/>
      <c r="M464" s="3"/>
      <c r="N464" s="3"/>
      <c r="O464" s="3"/>
      <c r="P464" s="3"/>
    </row>
    <row r="465">
      <c r="A465" s="3"/>
      <c r="B465" s="3"/>
      <c r="C465" s="3"/>
      <c r="D465" s="3"/>
      <c r="E465" s="3"/>
      <c r="F465" s="3"/>
      <c r="G465" s="3"/>
      <c r="H465" s="3"/>
      <c r="I465" s="3"/>
      <c r="J465" s="3"/>
      <c r="K465" s="3"/>
      <c r="L465" s="3"/>
      <c r="M465" s="3"/>
      <c r="N465" s="3"/>
      <c r="O465" s="3"/>
      <c r="P465" s="3"/>
    </row>
    <row r="466">
      <c r="A466" s="3"/>
      <c r="B466" s="3"/>
      <c r="C466" s="3"/>
      <c r="D466" s="3"/>
      <c r="E466" s="3"/>
      <c r="F466" s="3"/>
      <c r="G466" s="3"/>
      <c r="H466" s="3"/>
      <c r="I466" s="3"/>
      <c r="J466" s="3"/>
      <c r="K466" s="3"/>
      <c r="L466" s="3"/>
      <c r="M466" s="3"/>
      <c r="N466" s="3"/>
      <c r="O466" s="3"/>
      <c r="P466" s="3"/>
    </row>
    <row r="467">
      <c r="A467" s="3"/>
      <c r="B467" s="3"/>
      <c r="C467" s="3"/>
      <c r="D467" s="3"/>
      <c r="E467" s="3"/>
      <c r="F467" s="3"/>
      <c r="G467" s="3"/>
      <c r="H467" s="3"/>
      <c r="I467" s="3"/>
      <c r="J467" s="3"/>
      <c r="K467" s="3"/>
      <c r="L467" s="3"/>
      <c r="M467" s="3"/>
      <c r="N467" s="3"/>
      <c r="O467" s="3"/>
      <c r="P467" s="3"/>
    </row>
    <row r="468">
      <c r="A468" s="3"/>
      <c r="B468" s="3"/>
      <c r="C468" s="3"/>
      <c r="D468" s="3"/>
      <c r="E468" s="3"/>
      <c r="F468" s="3"/>
      <c r="G468" s="3"/>
      <c r="H468" s="3"/>
      <c r="I468" s="3"/>
      <c r="J468" s="3"/>
      <c r="K468" s="3"/>
      <c r="L468" s="3"/>
      <c r="M468" s="3"/>
      <c r="N468" s="3"/>
      <c r="O468" s="3"/>
      <c r="P468" s="3"/>
    </row>
    <row r="469">
      <c r="A469" s="3"/>
      <c r="B469" s="3"/>
      <c r="C469" s="3"/>
      <c r="D469" s="3"/>
      <c r="E469" s="3"/>
      <c r="F469" s="3"/>
      <c r="G469" s="3"/>
      <c r="H469" s="3"/>
      <c r="I469" s="3"/>
      <c r="J469" s="3"/>
      <c r="K469" s="3"/>
      <c r="L469" s="3"/>
      <c r="M469" s="3"/>
      <c r="N469" s="3"/>
      <c r="O469" s="3"/>
      <c r="P469" s="3"/>
    </row>
    <row r="470">
      <c r="A470" s="3"/>
      <c r="B470" s="3"/>
      <c r="C470" s="3"/>
      <c r="D470" s="3"/>
      <c r="E470" s="3"/>
      <c r="F470" s="3"/>
      <c r="G470" s="3"/>
      <c r="H470" s="3"/>
      <c r="I470" s="3"/>
      <c r="J470" s="3"/>
      <c r="K470" s="3"/>
      <c r="L470" s="3"/>
      <c r="M470" s="3"/>
      <c r="N470" s="3"/>
      <c r="O470" s="3"/>
      <c r="P470" s="3"/>
    </row>
    <row r="471">
      <c r="A471" s="3"/>
      <c r="B471" s="3"/>
      <c r="C471" s="3"/>
      <c r="D471" s="3"/>
      <c r="E471" s="3"/>
      <c r="F471" s="3"/>
      <c r="G471" s="3"/>
      <c r="H471" s="3"/>
      <c r="I471" s="3"/>
      <c r="J471" s="3"/>
      <c r="K471" s="3"/>
      <c r="L471" s="3"/>
      <c r="M471" s="3"/>
      <c r="N471" s="3"/>
      <c r="O471" s="3"/>
      <c r="P471" s="3"/>
    </row>
    <row r="472">
      <c r="A472" s="3"/>
      <c r="B472" s="3"/>
      <c r="C472" s="3"/>
      <c r="D472" s="3"/>
      <c r="E472" s="3"/>
      <c r="F472" s="3"/>
      <c r="G472" s="3"/>
      <c r="H472" s="3"/>
      <c r="I472" s="3"/>
      <c r="J472" s="3"/>
      <c r="K472" s="3"/>
      <c r="L472" s="3"/>
      <c r="M472" s="3"/>
      <c r="N472" s="3"/>
      <c r="O472" s="3"/>
      <c r="P472" s="3"/>
    </row>
    <row r="473">
      <c r="A473" s="3"/>
      <c r="B473" s="3"/>
      <c r="C473" s="3"/>
      <c r="D473" s="3"/>
      <c r="E473" s="3"/>
      <c r="F473" s="3"/>
      <c r="G473" s="3"/>
      <c r="H473" s="3"/>
      <c r="I473" s="3"/>
      <c r="J473" s="3"/>
      <c r="K473" s="3"/>
      <c r="L473" s="3"/>
      <c r="M473" s="3"/>
      <c r="N473" s="3"/>
      <c r="O473" s="3"/>
      <c r="P473" s="3"/>
    </row>
    <row r="474">
      <c r="A474" s="3"/>
      <c r="B474" s="3"/>
      <c r="C474" s="3"/>
      <c r="D474" s="3"/>
      <c r="E474" s="3"/>
      <c r="F474" s="3"/>
      <c r="G474" s="3"/>
      <c r="H474" s="3"/>
      <c r="I474" s="3"/>
      <c r="J474" s="3"/>
      <c r="K474" s="3"/>
      <c r="L474" s="3"/>
      <c r="M474" s="3"/>
      <c r="N474" s="3"/>
      <c r="O474" s="3"/>
      <c r="P474" s="3"/>
    </row>
    <row r="475">
      <c r="A475" s="3"/>
      <c r="B475" s="3"/>
      <c r="C475" s="3"/>
      <c r="D475" s="3"/>
      <c r="E475" s="3"/>
      <c r="F475" s="3"/>
      <c r="G475" s="3"/>
      <c r="H475" s="3"/>
      <c r="I475" s="3"/>
      <c r="J475" s="3"/>
      <c r="K475" s="3"/>
      <c r="L475" s="3"/>
      <c r="M475" s="3"/>
      <c r="N475" s="3"/>
      <c r="O475" s="3"/>
      <c r="P475" s="3"/>
    </row>
    <row r="476">
      <c r="A476" s="3"/>
      <c r="B476" s="3"/>
      <c r="C476" s="3"/>
      <c r="D476" s="3"/>
      <c r="E476" s="3"/>
      <c r="F476" s="3"/>
      <c r="G476" s="3"/>
      <c r="H476" s="3"/>
      <c r="I476" s="3"/>
      <c r="J476" s="3"/>
      <c r="K476" s="3"/>
      <c r="L476" s="3"/>
      <c r="M476" s="3"/>
      <c r="N476" s="3"/>
      <c r="O476" s="3"/>
      <c r="P476" s="3"/>
    </row>
    <row r="477">
      <c r="A477" s="3"/>
      <c r="B477" s="3"/>
      <c r="C477" s="3"/>
      <c r="D477" s="3"/>
      <c r="E477" s="3"/>
      <c r="F477" s="3"/>
      <c r="G477" s="3"/>
      <c r="H477" s="3"/>
      <c r="I477" s="3"/>
      <c r="J477" s="3"/>
      <c r="K477" s="3"/>
      <c r="L477" s="3"/>
      <c r="M477" s="3"/>
      <c r="N477" s="3"/>
      <c r="O477" s="3"/>
      <c r="P477" s="3"/>
    </row>
    <row r="478">
      <c r="A478" s="3"/>
      <c r="B478" s="3"/>
      <c r="C478" s="3"/>
      <c r="D478" s="3"/>
      <c r="E478" s="3"/>
      <c r="F478" s="3"/>
      <c r="G478" s="3"/>
      <c r="H478" s="3"/>
      <c r="I478" s="3"/>
      <c r="J478" s="3"/>
      <c r="K478" s="3"/>
      <c r="L478" s="3"/>
      <c r="M478" s="3"/>
      <c r="N478" s="3"/>
      <c r="O478" s="3"/>
      <c r="P478" s="3"/>
    </row>
    <row r="479">
      <c r="A479" s="3"/>
      <c r="B479" s="3"/>
      <c r="C479" s="3"/>
      <c r="D479" s="3"/>
      <c r="E479" s="3"/>
      <c r="F479" s="3"/>
      <c r="G479" s="3"/>
      <c r="H479" s="3"/>
      <c r="I479" s="3"/>
      <c r="J479" s="3"/>
      <c r="K479" s="3"/>
      <c r="L479" s="3"/>
      <c r="M479" s="3"/>
      <c r="N479" s="3"/>
      <c r="O479" s="3"/>
      <c r="P479" s="3"/>
    </row>
    <row r="480">
      <c r="A480" s="3"/>
      <c r="B480" s="3"/>
      <c r="C480" s="3"/>
      <c r="D480" s="3"/>
      <c r="E480" s="3"/>
      <c r="F480" s="3"/>
      <c r="G480" s="3"/>
      <c r="H480" s="3"/>
      <c r="I480" s="3"/>
      <c r="J480" s="3"/>
      <c r="K480" s="3"/>
      <c r="L480" s="3"/>
      <c r="M480" s="3"/>
      <c r="N480" s="3"/>
      <c r="O480" s="3"/>
      <c r="P480" s="3"/>
    </row>
    <row r="481">
      <c r="A481" s="3"/>
      <c r="B481" s="3"/>
      <c r="C481" s="3"/>
      <c r="D481" s="3"/>
      <c r="E481" s="3"/>
      <c r="F481" s="3"/>
      <c r="G481" s="3"/>
      <c r="H481" s="3"/>
      <c r="I481" s="3"/>
      <c r="J481" s="3"/>
      <c r="K481" s="3"/>
      <c r="L481" s="3"/>
      <c r="M481" s="3"/>
      <c r="N481" s="3"/>
      <c r="O481" s="3"/>
      <c r="P481" s="3"/>
    </row>
    <row r="482">
      <c r="A482" s="3"/>
      <c r="B482" s="3"/>
      <c r="C482" s="3"/>
      <c r="D482" s="3"/>
      <c r="E482" s="3"/>
      <c r="F482" s="3"/>
      <c r="G482" s="3"/>
      <c r="H482" s="3"/>
      <c r="I482" s="3"/>
      <c r="J482" s="3"/>
      <c r="K482" s="3"/>
      <c r="L482" s="3"/>
      <c r="M482" s="3"/>
      <c r="N482" s="3"/>
      <c r="O482" s="3"/>
      <c r="P482" s="3"/>
    </row>
    <row r="483">
      <c r="A483" s="3"/>
      <c r="B483" s="3"/>
      <c r="C483" s="3"/>
      <c r="D483" s="3"/>
      <c r="E483" s="3"/>
      <c r="F483" s="3"/>
      <c r="G483" s="3"/>
      <c r="H483" s="3"/>
      <c r="I483" s="3"/>
      <c r="J483" s="3"/>
      <c r="K483" s="3"/>
      <c r="L483" s="3"/>
      <c r="M483" s="3"/>
      <c r="N483" s="3"/>
      <c r="O483" s="3"/>
      <c r="P483" s="3"/>
    </row>
    <row r="484">
      <c r="A484" s="3"/>
      <c r="B484" s="3"/>
      <c r="C484" s="3"/>
      <c r="D484" s="3"/>
      <c r="E484" s="3"/>
      <c r="F484" s="3"/>
      <c r="G484" s="3"/>
      <c r="H484" s="3"/>
      <c r="I484" s="3"/>
      <c r="J484" s="3"/>
      <c r="K484" s="3"/>
      <c r="L484" s="3"/>
      <c r="M484" s="3"/>
      <c r="N484" s="3"/>
      <c r="O484" s="3"/>
      <c r="P484" s="3"/>
    </row>
    <row r="485">
      <c r="A485" s="3"/>
      <c r="B485" s="3"/>
      <c r="C485" s="3"/>
      <c r="D485" s="3"/>
      <c r="E485" s="3"/>
      <c r="F485" s="3"/>
      <c r="G485" s="3"/>
      <c r="H485" s="3"/>
      <c r="I485" s="3"/>
      <c r="J485" s="3"/>
      <c r="K485" s="3"/>
      <c r="L485" s="3"/>
      <c r="M485" s="3"/>
      <c r="N485" s="3"/>
      <c r="O485" s="3"/>
      <c r="P485" s="3"/>
    </row>
    <row r="486">
      <c r="A486" s="3"/>
      <c r="B486" s="3"/>
      <c r="C486" s="3"/>
      <c r="D486" s="3"/>
      <c r="E486" s="3"/>
      <c r="F486" s="3"/>
      <c r="G486" s="3"/>
      <c r="H486" s="3"/>
      <c r="I486" s="3"/>
      <c r="J486" s="3"/>
      <c r="K486" s="3"/>
      <c r="L486" s="3"/>
      <c r="M486" s="3"/>
      <c r="N486" s="3"/>
      <c r="O486" s="3"/>
      <c r="P486" s="3"/>
    </row>
    <row r="487">
      <c r="A487" s="3"/>
      <c r="B487" s="3"/>
      <c r="C487" s="3"/>
      <c r="D487" s="3"/>
      <c r="E487" s="3"/>
      <c r="F487" s="3"/>
      <c r="G487" s="3"/>
      <c r="H487" s="3"/>
      <c r="I487" s="3"/>
      <c r="J487" s="3"/>
      <c r="K487" s="3"/>
      <c r="L487" s="3"/>
      <c r="M487" s="3"/>
      <c r="N487" s="3"/>
      <c r="O487" s="3"/>
      <c r="P487" s="3"/>
    </row>
    <row r="488">
      <c r="A488" s="3"/>
      <c r="B488" s="3"/>
      <c r="C488" s="3"/>
      <c r="D488" s="3"/>
      <c r="E488" s="3"/>
      <c r="F488" s="3"/>
      <c r="G488" s="3"/>
      <c r="H488" s="3"/>
      <c r="I488" s="3"/>
      <c r="J488" s="3"/>
      <c r="K488" s="3"/>
      <c r="L488" s="3"/>
      <c r="M488" s="3"/>
      <c r="N488" s="3"/>
      <c r="O488" s="3"/>
      <c r="P488" s="3"/>
    </row>
    <row r="489">
      <c r="A489" s="3"/>
      <c r="B489" s="3"/>
      <c r="C489" s="3"/>
      <c r="D489" s="3"/>
      <c r="E489" s="3"/>
      <c r="F489" s="3"/>
      <c r="G489" s="3"/>
      <c r="H489" s="3"/>
      <c r="I489" s="3"/>
      <c r="J489" s="3"/>
      <c r="K489" s="3"/>
      <c r="L489" s="3"/>
      <c r="M489" s="3"/>
      <c r="N489" s="3"/>
      <c r="O489" s="3"/>
      <c r="P489" s="3"/>
    </row>
    <row r="490">
      <c r="A490" s="3"/>
      <c r="B490" s="3"/>
      <c r="C490" s="3"/>
      <c r="D490" s="3"/>
      <c r="E490" s="3"/>
      <c r="F490" s="3"/>
      <c r="G490" s="3"/>
      <c r="H490" s="3"/>
      <c r="I490" s="3"/>
      <c r="J490" s="3"/>
      <c r="K490" s="3"/>
      <c r="L490" s="3"/>
      <c r="M490" s="3"/>
      <c r="N490" s="3"/>
      <c r="O490" s="3"/>
      <c r="P490" s="3"/>
    </row>
    <row r="491">
      <c r="A491" s="3"/>
      <c r="B491" s="3"/>
      <c r="C491" s="3"/>
      <c r="D491" s="3"/>
      <c r="E491" s="3"/>
      <c r="F491" s="3"/>
      <c r="G491" s="3"/>
      <c r="H491" s="3"/>
      <c r="I491" s="3"/>
      <c r="J491" s="3"/>
      <c r="K491" s="3"/>
      <c r="L491" s="3"/>
      <c r="M491" s="3"/>
      <c r="N491" s="3"/>
      <c r="O491" s="3"/>
      <c r="P491" s="3"/>
    </row>
    <row r="492">
      <c r="A492" s="3"/>
      <c r="B492" s="3"/>
      <c r="C492" s="3"/>
      <c r="D492" s="3"/>
      <c r="E492" s="3"/>
      <c r="F492" s="3"/>
      <c r="G492" s="3"/>
      <c r="H492" s="3"/>
      <c r="I492" s="3"/>
      <c r="J492" s="3"/>
      <c r="K492" s="3"/>
      <c r="L492" s="3"/>
      <c r="M492" s="3"/>
      <c r="N492" s="3"/>
      <c r="O492" s="3"/>
      <c r="P492" s="3"/>
    </row>
    <row r="493">
      <c r="A493" s="3"/>
      <c r="B493" s="3"/>
      <c r="C493" s="3"/>
      <c r="D493" s="3"/>
      <c r="E493" s="3"/>
      <c r="F493" s="3"/>
      <c r="G493" s="3"/>
      <c r="H493" s="3"/>
      <c r="I493" s="3"/>
      <c r="J493" s="3"/>
      <c r="K493" s="3"/>
      <c r="L493" s="3"/>
      <c r="M493" s="3"/>
      <c r="N493" s="3"/>
      <c r="O493" s="3"/>
      <c r="P493" s="3"/>
    </row>
    <row r="494">
      <c r="A494" s="3"/>
      <c r="B494" s="3"/>
      <c r="C494" s="3"/>
      <c r="D494" s="3"/>
      <c r="E494" s="3"/>
      <c r="F494" s="3"/>
      <c r="G494" s="3"/>
      <c r="H494" s="3"/>
      <c r="I494" s="3"/>
      <c r="J494" s="3"/>
      <c r="K494" s="3"/>
      <c r="L494" s="3"/>
      <c r="M494" s="3"/>
      <c r="N494" s="3"/>
      <c r="O494" s="3"/>
      <c r="P494" s="3"/>
    </row>
    <row r="495">
      <c r="A495" s="3"/>
      <c r="B495" s="3"/>
      <c r="C495" s="3"/>
      <c r="D495" s="3"/>
      <c r="E495" s="3"/>
      <c r="F495" s="3"/>
      <c r="G495" s="3"/>
      <c r="H495" s="3"/>
      <c r="I495" s="3"/>
      <c r="J495" s="3"/>
      <c r="K495" s="3"/>
      <c r="L495" s="3"/>
      <c r="M495" s="3"/>
      <c r="N495" s="3"/>
      <c r="O495" s="3"/>
      <c r="P495" s="3"/>
    </row>
    <row r="496">
      <c r="A496" s="3"/>
      <c r="B496" s="3"/>
      <c r="C496" s="3"/>
      <c r="D496" s="3"/>
      <c r="E496" s="3"/>
      <c r="F496" s="3"/>
      <c r="G496" s="3"/>
      <c r="H496" s="3"/>
      <c r="I496" s="3"/>
      <c r="J496" s="3"/>
      <c r="K496" s="3"/>
      <c r="L496" s="3"/>
      <c r="M496" s="3"/>
      <c r="N496" s="3"/>
      <c r="O496" s="3"/>
      <c r="P496" s="3"/>
    </row>
    <row r="497">
      <c r="A497" s="3"/>
      <c r="B497" s="3"/>
      <c r="C497" s="3"/>
      <c r="D497" s="3"/>
      <c r="E497" s="3"/>
      <c r="F497" s="3"/>
      <c r="G497" s="3"/>
      <c r="H497" s="3"/>
      <c r="I497" s="3"/>
      <c r="J497" s="3"/>
      <c r="K497" s="3"/>
      <c r="L497" s="3"/>
      <c r="M497" s="3"/>
      <c r="N497" s="3"/>
      <c r="O497" s="3"/>
      <c r="P497" s="3"/>
    </row>
    <row r="498">
      <c r="A498" s="3"/>
      <c r="B498" s="3"/>
      <c r="C498" s="3"/>
      <c r="D498" s="3"/>
      <c r="E498" s="3"/>
      <c r="F498" s="3"/>
      <c r="G498" s="3"/>
      <c r="H498" s="3"/>
      <c r="I498" s="3"/>
      <c r="J498" s="3"/>
      <c r="K498" s="3"/>
      <c r="L498" s="3"/>
      <c r="M498" s="3"/>
      <c r="N498" s="3"/>
      <c r="O498" s="3"/>
      <c r="P498" s="3"/>
    </row>
    <row r="499">
      <c r="A499" s="3"/>
      <c r="B499" s="3"/>
      <c r="C499" s="3"/>
      <c r="D499" s="3"/>
      <c r="E499" s="3"/>
      <c r="F499" s="3"/>
      <c r="G499" s="3"/>
      <c r="H499" s="3"/>
      <c r="I499" s="3"/>
      <c r="J499" s="3"/>
      <c r="K499" s="3"/>
      <c r="L499" s="3"/>
      <c r="M499" s="3"/>
      <c r="N499" s="3"/>
      <c r="O499" s="3"/>
      <c r="P499" s="3"/>
    </row>
    <row r="500">
      <c r="A500" s="3"/>
      <c r="B500" s="3"/>
      <c r="C500" s="3"/>
      <c r="D500" s="3"/>
      <c r="E500" s="3"/>
      <c r="F500" s="3"/>
      <c r="G500" s="3"/>
      <c r="H500" s="3"/>
      <c r="I500" s="3"/>
      <c r="J500" s="3"/>
      <c r="K500" s="3"/>
      <c r="L500" s="3"/>
      <c r="M500" s="3"/>
      <c r="N500" s="3"/>
      <c r="O500" s="3"/>
      <c r="P500" s="3"/>
    </row>
    <row r="501">
      <c r="A501" s="3"/>
      <c r="B501" s="3"/>
      <c r="C501" s="3"/>
      <c r="D501" s="3"/>
      <c r="E501" s="3"/>
      <c r="F501" s="3"/>
      <c r="G501" s="3"/>
      <c r="H501" s="3"/>
      <c r="I501" s="3"/>
      <c r="J501" s="3"/>
      <c r="K501" s="3"/>
      <c r="L501" s="3"/>
      <c r="M501" s="3"/>
      <c r="N501" s="3"/>
      <c r="O501" s="3"/>
      <c r="P501" s="3"/>
    </row>
    <row r="502">
      <c r="A502" s="3"/>
      <c r="B502" s="3"/>
      <c r="C502" s="3"/>
      <c r="D502" s="3"/>
      <c r="E502" s="3"/>
      <c r="F502" s="3"/>
      <c r="G502" s="3"/>
      <c r="H502" s="3"/>
      <c r="I502" s="3"/>
      <c r="J502" s="3"/>
      <c r="K502" s="3"/>
      <c r="L502" s="3"/>
      <c r="M502" s="3"/>
      <c r="N502" s="3"/>
      <c r="O502" s="3"/>
      <c r="P502" s="3"/>
    </row>
    <row r="503">
      <c r="A503" s="3"/>
      <c r="B503" s="3"/>
      <c r="C503" s="3"/>
      <c r="D503" s="3"/>
      <c r="E503" s="3"/>
      <c r="F503" s="3"/>
      <c r="G503" s="3"/>
      <c r="H503" s="3"/>
      <c r="I503" s="3"/>
      <c r="J503" s="3"/>
      <c r="K503" s="3"/>
      <c r="L503" s="3"/>
      <c r="M503" s="3"/>
      <c r="N503" s="3"/>
      <c r="O503" s="3"/>
      <c r="P503" s="3"/>
    </row>
    <row r="504">
      <c r="A504" s="3"/>
      <c r="B504" s="3"/>
      <c r="C504" s="3"/>
      <c r="D504" s="3"/>
      <c r="E504" s="3"/>
      <c r="F504" s="3"/>
      <c r="G504" s="3"/>
      <c r="H504" s="3"/>
      <c r="I504" s="3"/>
      <c r="J504" s="3"/>
      <c r="K504" s="3"/>
      <c r="L504" s="3"/>
      <c r="M504" s="3"/>
      <c r="N504" s="3"/>
      <c r="O504" s="3"/>
      <c r="P504" s="3"/>
    </row>
    <row r="505">
      <c r="A505" s="3"/>
      <c r="B505" s="3"/>
      <c r="C505" s="3"/>
      <c r="D505" s="3"/>
      <c r="E505" s="3"/>
      <c r="F505" s="3"/>
      <c r="G505" s="3"/>
      <c r="H505" s="3"/>
      <c r="I505" s="3"/>
      <c r="J505" s="3"/>
      <c r="K505" s="3"/>
      <c r="L505" s="3"/>
      <c r="M505" s="3"/>
      <c r="N505" s="3"/>
      <c r="O505" s="3"/>
      <c r="P505" s="3"/>
    </row>
    <row r="506">
      <c r="A506" s="3"/>
      <c r="B506" s="3"/>
      <c r="C506" s="3"/>
      <c r="D506" s="3"/>
      <c r="E506" s="3"/>
      <c r="F506" s="3"/>
      <c r="G506" s="3"/>
      <c r="H506" s="3"/>
      <c r="I506" s="3"/>
      <c r="J506" s="3"/>
      <c r="K506" s="3"/>
      <c r="L506" s="3"/>
      <c r="M506" s="3"/>
      <c r="N506" s="3"/>
      <c r="O506" s="3"/>
      <c r="P506" s="3"/>
    </row>
    <row r="507">
      <c r="A507" s="3"/>
      <c r="B507" s="3"/>
      <c r="C507" s="3"/>
      <c r="D507" s="3"/>
      <c r="E507" s="3"/>
      <c r="F507" s="3"/>
      <c r="G507" s="3"/>
      <c r="H507" s="3"/>
      <c r="I507" s="3"/>
      <c r="J507" s="3"/>
      <c r="K507" s="3"/>
      <c r="L507" s="3"/>
      <c r="M507" s="3"/>
      <c r="N507" s="3"/>
      <c r="O507" s="3"/>
      <c r="P507" s="3"/>
    </row>
    <row r="508">
      <c r="A508" s="3"/>
      <c r="B508" s="3"/>
      <c r="C508" s="3"/>
      <c r="D508" s="3"/>
      <c r="E508" s="3"/>
      <c r="F508" s="3"/>
      <c r="G508" s="3"/>
      <c r="H508" s="3"/>
      <c r="I508" s="3"/>
      <c r="J508" s="3"/>
      <c r="K508" s="3"/>
      <c r="L508" s="3"/>
      <c r="M508" s="3"/>
      <c r="N508" s="3"/>
      <c r="O508" s="3"/>
      <c r="P508" s="3"/>
    </row>
    <row r="509">
      <c r="A509" s="3"/>
      <c r="B509" s="3"/>
      <c r="C509" s="3"/>
      <c r="D509" s="3"/>
      <c r="E509" s="3"/>
      <c r="F509" s="3"/>
      <c r="G509" s="3"/>
      <c r="H509" s="3"/>
      <c r="I509" s="3"/>
      <c r="J509" s="3"/>
      <c r="K509" s="3"/>
      <c r="L509" s="3"/>
      <c r="M509" s="3"/>
      <c r="N509" s="3"/>
      <c r="O509" s="3"/>
      <c r="P509" s="3"/>
    </row>
    <row r="510">
      <c r="A510" s="3"/>
      <c r="B510" s="3"/>
      <c r="C510" s="3"/>
      <c r="D510" s="3"/>
      <c r="E510" s="3"/>
      <c r="F510" s="3"/>
      <c r="G510" s="3"/>
      <c r="H510" s="3"/>
      <c r="I510" s="3"/>
      <c r="J510" s="3"/>
      <c r="K510" s="3"/>
      <c r="L510" s="3"/>
      <c r="M510" s="3"/>
      <c r="N510" s="3"/>
      <c r="O510" s="3"/>
      <c r="P510" s="3"/>
    </row>
    <row r="511">
      <c r="A511" s="3"/>
      <c r="B511" s="3"/>
      <c r="C511" s="3"/>
      <c r="D511" s="3"/>
      <c r="E511" s="3"/>
      <c r="F511" s="3"/>
      <c r="G511" s="3"/>
      <c r="H511" s="3"/>
      <c r="I511" s="3"/>
      <c r="J511" s="3"/>
      <c r="K511" s="3"/>
      <c r="L511" s="3"/>
      <c r="M511" s="3"/>
      <c r="N511" s="3"/>
      <c r="O511" s="3"/>
      <c r="P511" s="3"/>
    </row>
    <row r="512">
      <c r="A512" s="3"/>
      <c r="B512" s="3"/>
      <c r="C512" s="3"/>
      <c r="D512" s="3"/>
      <c r="E512" s="3"/>
      <c r="F512" s="3"/>
      <c r="G512" s="3"/>
      <c r="H512" s="3"/>
      <c r="I512" s="3"/>
      <c r="J512" s="3"/>
      <c r="K512" s="3"/>
      <c r="L512" s="3"/>
      <c r="M512" s="3"/>
      <c r="N512" s="3"/>
      <c r="O512" s="3"/>
      <c r="P512" s="3"/>
    </row>
    <row r="513">
      <c r="A513" s="3"/>
      <c r="B513" s="3"/>
      <c r="C513" s="3"/>
      <c r="D513" s="3"/>
      <c r="E513" s="3"/>
      <c r="F513" s="3"/>
      <c r="G513" s="3"/>
      <c r="H513" s="3"/>
      <c r="I513" s="3"/>
      <c r="J513" s="3"/>
      <c r="K513" s="3"/>
      <c r="L513" s="3"/>
      <c r="M513" s="3"/>
      <c r="N513" s="3"/>
      <c r="O513" s="3"/>
      <c r="P513" s="3"/>
    </row>
    <row r="514">
      <c r="A514" s="3"/>
      <c r="B514" s="3"/>
      <c r="C514" s="3"/>
      <c r="D514" s="3"/>
      <c r="E514" s="3"/>
      <c r="F514" s="3"/>
      <c r="G514" s="3"/>
      <c r="H514" s="3"/>
      <c r="I514" s="3"/>
      <c r="J514" s="3"/>
      <c r="K514" s="3"/>
      <c r="L514" s="3"/>
      <c r="M514" s="3"/>
      <c r="N514" s="3"/>
      <c r="O514" s="3"/>
      <c r="P514" s="3"/>
    </row>
    <row r="515">
      <c r="A515" s="3"/>
      <c r="B515" s="3"/>
      <c r="C515" s="3"/>
      <c r="D515" s="3"/>
      <c r="E515" s="3"/>
      <c r="F515" s="3"/>
      <c r="G515" s="3"/>
      <c r="H515" s="3"/>
      <c r="I515" s="3"/>
      <c r="J515" s="3"/>
      <c r="K515" s="3"/>
      <c r="L515" s="3"/>
      <c r="M515" s="3"/>
      <c r="N515" s="3"/>
      <c r="O515" s="3"/>
      <c r="P515" s="3"/>
    </row>
    <row r="516">
      <c r="A516" s="3"/>
      <c r="B516" s="3"/>
      <c r="C516" s="3"/>
      <c r="D516" s="3"/>
      <c r="E516" s="3"/>
      <c r="F516" s="3"/>
      <c r="G516" s="3"/>
      <c r="H516" s="3"/>
      <c r="I516" s="3"/>
      <c r="J516" s="3"/>
      <c r="K516" s="3"/>
      <c r="L516" s="3"/>
      <c r="M516" s="3"/>
      <c r="N516" s="3"/>
      <c r="O516" s="3"/>
      <c r="P516" s="3"/>
    </row>
    <row r="517">
      <c r="A517" s="3"/>
      <c r="B517" s="3"/>
      <c r="C517" s="3"/>
      <c r="D517" s="3"/>
      <c r="E517" s="3"/>
      <c r="F517" s="3"/>
      <c r="G517" s="3"/>
      <c r="H517" s="3"/>
      <c r="I517" s="3"/>
      <c r="J517" s="3"/>
      <c r="K517" s="3"/>
      <c r="L517" s="3"/>
      <c r="M517" s="3"/>
      <c r="N517" s="3"/>
      <c r="O517" s="3"/>
      <c r="P517" s="3"/>
    </row>
    <row r="518">
      <c r="A518" s="3"/>
      <c r="B518" s="3"/>
      <c r="C518" s="3"/>
      <c r="D518" s="3"/>
      <c r="E518" s="3"/>
      <c r="F518" s="3"/>
      <c r="G518" s="3"/>
      <c r="H518" s="3"/>
      <c r="I518" s="3"/>
      <c r="J518" s="3"/>
      <c r="K518" s="3"/>
      <c r="L518" s="3"/>
      <c r="M518" s="3"/>
      <c r="N518" s="3"/>
      <c r="O518" s="3"/>
      <c r="P518" s="3"/>
    </row>
    <row r="519">
      <c r="A519" s="3"/>
      <c r="B519" s="3"/>
      <c r="C519" s="3"/>
      <c r="D519" s="3"/>
      <c r="E519" s="3"/>
      <c r="F519" s="3"/>
      <c r="G519" s="3"/>
      <c r="H519" s="3"/>
      <c r="I519" s="3"/>
      <c r="J519" s="3"/>
      <c r="K519" s="3"/>
      <c r="L519" s="3"/>
      <c r="M519" s="3"/>
      <c r="N519" s="3"/>
      <c r="O519" s="3"/>
      <c r="P519" s="3"/>
    </row>
    <row r="520">
      <c r="A520" s="3"/>
      <c r="B520" s="3"/>
      <c r="C520" s="3"/>
      <c r="D520" s="3"/>
      <c r="E520" s="3"/>
      <c r="F520" s="3"/>
      <c r="G520" s="3"/>
      <c r="H520" s="3"/>
      <c r="I520" s="3"/>
      <c r="J520" s="3"/>
      <c r="K520" s="3"/>
      <c r="L520" s="3"/>
      <c r="M520" s="3"/>
      <c r="N520" s="3"/>
      <c r="O520" s="3"/>
      <c r="P520" s="3"/>
    </row>
    <row r="521">
      <c r="A521" s="3"/>
      <c r="B521" s="3"/>
      <c r="C521" s="3"/>
      <c r="D521" s="3"/>
      <c r="E521" s="3"/>
      <c r="F521" s="3"/>
      <c r="G521" s="3"/>
      <c r="H521" s="3"/>
      <c r="I521" s="3"/>
      <c r="J521" s="3"/>
      <c r="K521" s="3"/>
      <c r="L521" s="3"/>
      <c r="M521" s="3"/>
      <c r="N521" s="3"/>
      <c r="O521" s="3"/>
      <c r="P521" s="3"/>
    </row>
    <row r="522">
      <c r="A522" s="3"/>
      <c r="B522" s="3"/>
      <c r="C522" s="3"/>
      <c r="D522" s="3"/>
      <c r="E522" s="3"/>
      <c r="F522" s="3"/>
      <c r="G522" s="3"/>
      <c r="H522" s="3"/>
      <c r="I522" s="3"/>
      <c r="J522" s="3"/>
      <c r="K522" s="3"/>
      <c r="L522" s="3"/>
      <c r="M522" s="3"/>
      <c r="N522" s="3"/>
      <c r="O522" s="3"/>
      <c r="P522" s="3"/>
    </row>
    <row r="523">
      <c r="A523" s="3"/>
      <c r="B523" s="3"/>
      <c r="C523" s="3"/>
      <c r="D523" s="3"/>
      <c r="E523" s="3"/>
      <c r="F523" s="3"/>
      <c r="G523" s="3"/>
      <c r="H523" s="3"/>
      <c r="I523" s="3"/>
      <c r="J523" s="3"/>
      <c r="K523" s="3"/>
      <c r="L523" s="3"/>
      <c r="M523" s="3"/>
      <c r="N523" s="3"/>
      <c r="O523" s="3"/>
      <c r="P523" s="3"/>
    </row>
    <row r="524">
      <c r="A524" s="3"/>
      <c r="B524" s="3"/>
      <c r="C524" s="3"/>
      <c r="D524" s="3"/>
      <c r="E524" s="3"/>
      <c r="F524" s="3"/>
      <c r="G524" s="3"/>
      <c r="H524" s="3"/>
      <c r="I524" s="3"/>
      <c r="J524" s="3"/>
      <c r="K524" s="3"/>
      <c r="L524" s="3"/>
      <c r="M524" s="3"/>
      <c r="N524" s="3"/>
      <c r="O524" s="3"/>
      <c r="P524" s="3"/>
    </row>
    <row r="525">
      <c r="A525" s="3"/>
      <c r="B525" s="3"/>
      <c r="C525" s="3"/>
      <c r="D525" s="3"/>
      <c r="E525" s="3"/>
      <c r="F525" s="3"/>
      <c r="G525" s="3"/>
      <c r="H525" s="3"/>
      <c r="I525" s="3"/>
      <c r="J525" s="3"/>
      <c r="K525" s="3"/>
      <c r="L525" s="3"/>
      <c r="M525" s="3"/>
      <c r="N525" s="3"/>
      <c r="O525" s="3"/>
      <c r="P525" s="3"/>
    </row>
    <row r="526">
      <c r="A526" s="3"/>
      <c r="B526" s="3"/>
      <c r="C526" s="3"/>
      <c r="D526" s="3"/>
      <c r="E526" s="3"/>
      <c r="F526" s="3"/>
      <c r="G526" s="3"/>
      <c r="H526" s="3"/>
      <c r="I526" s="3"/>
      <c r="J526" s="3"/>
      <c r="K526" s="3"/>
      <c r="L526" s="3"/>
      <c r="M526" s="3"/>
      <c r="N526" s="3"/>
      <c r="O526" s="3"/>
      <c r="P526" s="3"/>
    </row>
    <row r="527">
      <c r="A527" s="3"/>
      <c r="B527" s="3"/>
      <c r="C527" s="3"/>
      <c r="D527" s="3"/>
      <c r="E527" s="3"/>
      <c r="F527" s="3"/>
      <c r="G527" s="3"/>
      <c r="H527" s="3"/>
      <c r="I527" s="3"/>
      <c r="J527" s="3"/>
      <c r="K527" s="3"/>
      <c r="L527" s="3"/>
      <c r="M527" s="3"/>
      <c r="N527" s="3"/>
      <c r="O527" s="3"/>
      <c r="P527" s="3"/>
    </row>
    <row r="528">
      <c r="A528" s="3"/>
      <c r="B528" s="3"/>
      <c r="C528" s="3"/>
      <c r="D528" s="3"/>
      <c r="E528" s="3"/>
      <c r="F528" s="3"/>
      <c r="G528" s="3"/>
      <c r="H528" s="3"/>
      <c r="I528" s="3"/>
      <c r="J528" s="3"/>
      <c r="K528" s="3"/>
      <c r="L528" s="3"/>
      <c r="M528" s="3"/>
      <c r="N528" s="3"/>
      <c r="O528" s="3"/>
      <c r="P528" s="3"/>
    </row>
    <row r="529">
      <c r="A529" s="3"/>
      <c r="B529" s="3"/>
      <c r="C529" s="3"/>
      <c r="D529" s="3"/>
      <c r="E529" s="3"/>
      <c r="F529" s="3"/>
      <c r="G529" s="3"/>
      <c r="H529" s="3"/>
      <c r="I529" s="3"/>
      <c r="J529" s="3"/>
      <c r="K529" s="3"/>
      <c r="L529" s="3"/>
      <c r="M529" s="3"/>
      <c r="N529" s="3"/>
      <c r="O529" s="3"/>
      <c r="P529" s="3"/>
    </row>
    <row r="530">
      <c r="A530" s="3"/>
      <c r="B530" s="3"/>
      <c r="C530" s="3"/>
      <c r="D530" s="3"/>
      <c r="E530" s="3"/>
      <c r="F530" s="3"/>
      <c r="G530" s="3"/>
      <c r="H530" s="3"/>
      <c r="I530" s="3"/>
      <c r="J530" s="3"/>
      <c r="K530" s="3"/>
      <c r="L530" s="3"/>
      <c r="M530" s="3"/>
      <c r="N530" s="3"/>
      <c r="O530" s="3"/>
      <c r="P530" s="3"/>
    </row>
    <row r="531">
      <c r="A531" s="3"/>
      <c r="B531" s="3"/>
      <c r="C531" s="3"/>
      <c r="D531" s="3"/>
      <c r="E531" s="3"/>
      <c r="F531" s="3"/>
      <c r="G531" s="3"/>
      <c r="H531" s="3"/>
      <c r="I531" s="3"/>
      <c r="J531" s="3"/>
      <c r="K531" s="3"/>
      <c r="L531" s="3"/>
      <c r="M531" s="3"/>
      <c r="N531" s="3"/>
      <c r="O531" s="3"/>
      <c r="P531" s="3"/>
    </row>
    <row r="532">
      <c r="A532" s="3"/>
      <c r="B532" s="3"/>
      <c r="C532" s="3"/>
      <c r="D532" s="3"/>
      <c r="E532" s="3"/>
      <c r="F532" s="3"/>
      <c r="G532" s="3"/>
      <c r="H532" s="3"/>
      <c r="I532" s="3"/>
      <c r="J532" s="3"/>
      <c r="K532" s="3"/>
      <c r="L532" s="3"/>
      <c r="M532" s="3"/>
      <c r="N532" s="3"/>
      <c r="O532" s="3"/>
      <c r="P532" s="3"/>
    </row>
    <row r="533">
      <c r="A533" s="3"/>
      <c r="B533" s="3"/>
      <c r="C533" s="3"/>
      <c r="D533" s="3"/>
      <c r="E533" s="3"/>
      <c r="F533" s="3"/>
      <c r="G533" s="3"/>
      <c r="H533" s="3"/>
      <c r="I533" s="3"/>
      <c r="J533" s="3"/>
      <c r="K533" s="3"/>
      <c r="L533" s="3"/>
      <c r="M533" s="3"/>
      <c r="N533" s="3"/>
      <c r="O533" s="3"/>
      <c r="P533" s="3"/>
    </row>
    <row r="534">
      <c r="A534" s="3"/>
      <c r="B534" s="3"/>
      <c r="C534" s="3"/>
      <c r="D534" s="3"/>
      <c r="E534" s="3"/>
      <c r="F534" s="3"/>
      <c r="G534" s="3"/>
      <c r="H534" s="3"/>
      <c r="I534" s="3"/>
      <c r="J534" s="3"/>
      <c r="K534" s="3"/>
      <c r="L534" s="3"/>
      <c r="M534" s="3"/>
      <c r="N534" s="3"/>
      <c r="O534" s="3"/>
      <c r="P534" s="3"/>
    </row>
    <row r="535">
      <c r="A535" s="3"/>
      <c r="B535" s="3"/>
      <c r="C535" s="3"/>
      <c r="D535" s="3"/>
      <c r="E535" s="3"/>
      <c r="F535" s="3"/>
      <c r="G535" s="3"/>
      <c r="H535" s="3"/>
      <c r="I535" s="3"/>
      <c r="J535" s="3"/>
      <c r="K535" s="3"/>
      <c r="L535" s="3"/>
      <c r="M535" s="3"/>
      <c r="N535" s="3"/>
      <c r="O535" s="3"/>
      <c r="P535" s="3"/>
    </row>
    <row r="536">
      <c r="A536" s="3"/>
      <c r="B536" s="3"/>
      <c r="C536" s="3"/>
      <c r="D536" s="3"/>
      <c r="E536" s="3"/>
      <c r="F536" s="3"/>
      <c r="G536" s="3"/>
      <c r="H536" s="3"/>
      <c r="I536" s="3"/>
      <c r="J536" s="3"/>
      <c r="K536" s="3"/>
      <c r="L536" s="3"/>
      <c r="M536" s="3"/>
      <c r="N536" s="3"/>
      <c r="O536" s="3"/>
      <c r="P536" s="3"/>
    </row>
    <row r="537">
      <c r="A537" s="3"/>
      <c r="B537" s="3"/>
      <c r="C537" s="3"/>
      <c r="D537" s="3"/>
      <c r="E537" s="3"/>
      <c r="F537" s="3"/>
      <c r="G537" s="3"/>
      <c r="H537" s="3"/>
      <c r="I537" s="3"/>
      <c r="J537" s="3"/>
      <c r="K537" s="3"/>
      <c r="L537" s="3"/>
      <c r="M537" s="3"/>
      <c r="N537" s="3"/>
      <c r="O537" s="3"/>
      <c r="P537" s="3"/>
    </row>
    <row r="538">
      <c r="A538" s="3"/>
      <c r="B538" s="3"/>
      <c r="C538" s="3"/>
      <c r="D538" s="3"/>
      <c r="E538" s="3"/>
      <c r="F538" s="3"/>
      <c r="G538" s="3"/>
      <c r="H538" s="3"/>
      <c r="I538" s="3"/>
      <c r="J538" s="3"/>
      <c r="K538" s="3"/>
      <c r="L538" s="3"/>
      <c r="M538" s="3"/>
      <c r="N538" s="3"/>
      <c r="O538" s="3"/>
      <c r="P538" s="3"/>
    </row>
    <row r="539">
      <c r="A539" s="3"/>
      <c r="B539" s="3"/>
      <c r="C539" s="3"/>
      <c r="D539" s="3"/>
      <c r="E539" s="3"/>
      <c r="F539" s="3"/>
      <c r="G539" s="3"/>
      <c r="H539" s="3"/>
      <c r="I539" s="3"/>
      <c r="J539" s="3"/>
      <c r="K539" s="3"/>
      <c r="L539" s="3"/>
      <c r="M539" s="3"/>
      <c r="N539" s="3"/>
      <c r="O539" s="3"/>
      <c r="P539" s="3"/>
    </row>
    <row r="540">
      <c r="A540" s="3"/>
      <c r="B540" s="3"/>
      <c r="C540" s="3"/>
      <c r="D540" s="3"/>
      <c r="E540" s="3"/>
      <c r="F540" s="3"/>
      <c r="G540" s="3"/>
      <c r="H540" s="3"/>
      <c r="I540" s="3"/>
      <c r="J540" s="3"/>
      <c r="K540" s="3"/>
      <c r="L540" s="3"/>
      <c r="M540" s="3"/>
      <c r="N540" s="3"/>
      <c r="O540" s="3"/>
      <c r="P540" s="3"/>
    </row>
    <row r="541">
      <c r="A541" s="3"/>
      <c r="B541" s="3"/>
      <c r="C541" s="3"/>
      <c r="D541" s="3"/>
      <c r="E541" s="3"/>
      <c r="F541" s="3"/>
      <c r="G541" s="3"/>
      <c r="H541" s="3"/>
      <c r="I541" s="3"/>
      <c r="J541" s="3"/>
      <c r="K541" s="3"/>
      <c r="L541" s="3"/>
      <c r="M541" s="3"/>
      <c r="N541" s="3"/>
      <c r="O541" s="3"/>
      <c r="P541" s="3"/>
    </row>
    <row r="542">
      <c r="A542" s="3"/>
      <c r="B542" s="3"/>
      <c r="C542" s="3"/>
      <c r="D542" s="3"/>
      <c r="E542" s="3"/>
      <c r="F542" s="3"/>
      <c r="G542" s="3"/>
      <c r="H542" s="3"/>
      <c r="I542" s="3"/>
      <c r="J542" s="3"/>
      <c r="K542" s="3"/>
      <c r="L542" s="3"/>
      <c r="M542" s="3"/>
      <c r="N542" s="3"/>
      <c r="O542" s="3"/>
      <c r="P542" s="3"/>
    </row>
    <row r="543">
      <c r="A543" s="3"/>
      <c r="B543" s="3"/>
      <c r="C543" s="3"/>
      <c r="D543" s="3"/>
      <c r="E543" s="3"/>
      <c r="F543" s="3"/>
      <c r="G543" s="3"/>
      <c r="H543" s="3"/>
      <c r="I543" s="3"/>
      <c r="J543" s="3"/>
      <c r="K543" s="3"/>
      <c r="L543" s="3"/>
      <c r="M543" s="3"/>
      <c r="N543" s="3"/>
      <c r="O543" s="3"/>
      <c r="P543" s="3"/>
    </row>
    <row r="544">
      <c r="A544" s="3"/>
      <c r="B544" s="3"/>
      <c r="C544" s="3"/>
      <c r="D544" s="3"/>
      <c r="E544" s="3"/>
      <c r="F544" s="3"/>
      <c r="G544" s="3"/>
      <c r="H544" s="3"/>
      <c r="I544" s="3"/>
      <c r="J544" s="3"/>
      <c r="K544" s="3"/>
      <c r="L544" s="3"/>
      <c r="M544" s="3"/>
      <c r="N544" s="3"/>
      <c r="O544" s="3"/>
      <c r="P544" s="3"/>
    </row>
    <row r="545">
      <c r="A545" s="3"/>
      <c r="B545" s="3"/>
      <c r="C545" s="3"/>
      <c r="D545" s="3"/>
      <c r="E545" s="3"/>
      <c r="F545" s="3"/>
      <c r="G545" s="3"/>
      <c r="H545" s="3"/>
      <c r="I545" s="3"/>
      <c r="J545" s="3"/>
      <c r="K545" s="3"/>
      <c r="L545" s="3"/>
      <c r="M545" s="3"/>
      <c r="N545" s="3"/>
      <c r="O545" s="3"/>
      <c r="P545" s="3"/>
    </row>
    <row r="546">
      <c r="A546" s="3"/>
      <c r="B546" s="3"/>
      <c r="C546" s="3"/>
      <c r="D546" s="3"/>
      <c r="E546" s="3"/>
      <c r="F546" s="3"/>
      <c r="G546" s="3"/>
      <c r="H546" s="3"/>
      <c r="I546" s="3"/>
      <c r="J546" s="3"/>
      <c r="K546" s="3"/>
      <c r="L546" s="3"/>
      <c r="M546" s="3"/>
      <c r="N546" s="3"/>
      <c r="O546" s="3"/>
      <c r="P546" s="3"/>
    </row>
    <row r="547">
      <c r="A547" s="3"/>
      <c r="B547" s="3"/>
      <c r="C547" s="3"/>
      <c r="D547" s="3"/>
      <c r="E547" s="3"/>
      <c r="F547" s="3"/>
      <c r="G547" s="3"/>
      <c r="H547" s="3"/>
      <c r="I547" s="3"/>
      <c r="J547" s="3"/>
      <c r="K547" s="3"/>
      <c r="L547" s="3"/>
      <c r="M547" s="3"/>
      <c r="N547" s="3"/>
      <c r="O547" s="3"/>
      <c r="P547" s="3"/>
    </row>
    <row r="548">
      <c r="A548" s="3"/>
      <c r="B548" s="3"/>
      <c r="C548" s="3"/>
      <c r="D548" s="3"/>
      <c r="E548" s="3"/>
      <c r="F548" s="3"/>
      <c r="G548" s="3"/>
      <c r="H548" s="3"/>
      <c r="I548" s="3"/>
      <c r="J548" s="3"/>
      <c r="K548" s="3"/>
      <c r="L548" s="3"/>
      <c r="M548" s="3"/>
      <c r="N548" s="3"/>
      <c r="O548" s="3"/>
      <c r="P548" s="3"/>
    </row>
    <row r="549">
      <c r="A549" s="3"/>
      <c r="B549" s="3"/>
      <c r="C549" s="3"/>
      <c r="D549" s="3"/>
      <c r="E549" s="3"/>
      <c r="F549" s="3"/>
      <c r="G549" s="3"/>
      <c r="H549" s="3"/>
      <c r="I549" s="3"/>
      <c r="J549" s="3"/>
      <c r="K549" s="3"/>
      <c r="L549" s="3"/>
      <c r="M549" s="3"/>
      <c r="N549" s="3"/>
      <c r="O549" s="3"/>
      <c r="P549" s="3"/>
    </row>
    <row r="550">
      <c r="A550" s="3"/>
      <c r="B550" s="3"/>
      <c r="C550" s="3"/>
      <c r="D550" s="3"/>
      <c r="E550" s="3"/>
      <c r="F550" s="3"/>
      <c r="G550" s="3"/>
      <c r="H550" s="3"/>
      <c r="I550" s="3"/>
      <c r="J550" s="3"/>
      <c r="K550" s="3"/>
      <c r="L550" s="3"/>
      <c r="M550" s="3"/>
      <c r="N550" s="3"/>
      <c r="O550" s="3"/>
      <c r="P550" s="3"/>
    </row>
    <row r="551">
      <c r="A551" s="3"/>
      <c r="B551" s="3"/>
      <c r="C551" s="3"/>
      <c r="D551" s="3"/>
      <c r="E551" s="3"/>
      <c r="F551" s="3"/>
      <c r="G551" s="3"/>
      <c r="H551" s="3"/>
      <c r="I551" s="3"/>
      <c r="J551" s="3"/>
      <c r="K551" s="3"/>
      <c r="L551" s="3"/>
      <c r="M551" s="3"/>
      <c r="N551" s="3"/>
      <c r="O551" s="3"/>
      <c r="P551" s="3"/>
    </row>
    <row r="552">
      <c r="A552" s="3"/>
      <c r="B552" s="3"/>
      <c r="C552" s="3"/>
      <c r="D552" s="3"/>
      <c r="E552" s="3"/>
      <c r="F552" s="3"/>
      <c r="G552" s="3"/>
      <c r="H552" s="3"/>
      <c r="I552" s="3"/>
      <c r="J552" s="3"/>
      <c r="K552" s="3"/>
      <c r="L552" s="3"/>
      <c r="M552" s="3"/>
      <c r="N552" s="3"/>
      <c r="O552" s="3"/>
      <c r="P552" s="3"/>
    </row>
    <row r="553">
      <c r="A553" s="3"/>
      <c r="B553" s="3"/>
      <c r="C553" s="3"/>
      <c r="D553" s="3"/>
      <c r="E553" s="3"/>
      <c r="F553" s="3"/>
      <c r="G553" s="3"/>
      <c r="H553" s="3"/>
      <c r="I553" s="3"/>
      <c r="J553" s="3"/>
      <c r="K553" s="3"/>
      <c r="L553" s="3"/>
      <c r="M553" s="3"/>
      <c r="N553" s="3"/>
      <c r="O553" s="3"/>
      <c r="P553" s="3"/>
    </row>
    <row r="554">
      <c r="A554" s="3"/>
      <c r="B554" s="3"/>
      <c r="C554" s="3"/>
      <c r="D554" s="3"/>
      <c r="E554" s="3"/>
      <c r="F554" s="3"/>
      <c r="G554" s="3"/>
      <c r="H554" s="3"/>
      <c r="I554" s="3"/>
      <c r="J554" s="3"/>
      <c r="K554" s="3"/>
      <c r="L554" s="3"/>
      <c r="M554" s="3"/>
      <c r="N554" s="3"/>
      <c r="O554" s="3"/>
      <c r="P554" s="3"/>
    </row>
    <row r="555">
      <c r="A555" s="3"/>
      <c r="B555" s="3"/>
      <c r="C555" s="3"/>
      <c r="D555" s="3"/>
      <c r="E555" s="3"/>
      <c r="F555" s="3"/>
      <c r="G555" s="3"/>
      <c r="H555" s="3"/>
      <c r="I555" s="3"/>
      <c r="J555" s="3"/>
      <c r="K555" s="3"/>
      <c r="L555" s="3"/>
      <c r="M555" s="3"/>
      <c r="N555" s="3"/>
      <c r="O555" s="3"/>
      <c r="P555" s="3"/>
    </row>
    <row r="556">
      <c r="A556" s="3"/>
      <c r="B556" s="3"/>
      <c r="C556" s="3"/>
      <c r="D556" s="3"/>
      <c r="E556" s="3"/>
      <c r="F556" s="3"/>
      <c r="G556" s="3"/>
      <c r="H556" s="3"/>
      <c r="I556" s="3"/>
      <c r="J556" s="3"/>
      <c r="K556" s="3"/>
      <c r="L556" s="3"/>
      <c r="M556" s="3"/>
      <c r="N556" s="3"/>
      <c r="O556" s="3"/>
      <c r="P556" s="3"/>
    </row>
    <row r="557">
      <c r="A557" s="3"/>
      <c r="B557" s="3"/>
      <c r="C557" s="3"/>
      <c r="D557" s="3"/>
      <c r="E557" s="3"/>
      <c r="F557" s="3"/>
      <c r="G557" s="3"/>
      <c r="H557" s="3"/>
      <c r="I557" s="3"/>
      <c r="J557" s="3"/>
      <c r="K557" s="3"/>
      <c r="L557" s="3"/>
      <c r="M557" s="3"/>
      <c r="N557" s="3"/>
      <c r="O557" s="3"/>
      <c r="P557" s="3"/>
    </row>
    <row r="558">
      <c r="A558" s="3"/>
      <c r="B558" s="3"/>
      <c r="C558" s="3"/>
      <c r="D558" s="3"/>
      <c r="E558" s="3"/>
      <c r="F558" s="3"/>
      <c r="G558" s="3"/>
      <c r="H558" s="3"/>
      <c r="I558" s="3"/>
      <c r="J558" s="3"/>
      <c r="K558" s="3"/>
      <c r="L558" s="3"/>
      <c r="M558" s="3"/>
      <c r="N558" s="3"/>
      <c r="O558" s="3"/>
      <c r="P558" s="3"/>
    </row>
    <row r="559">
      <c r="A559" s="3"/>
      <c r="B559" s="3"/>
      <c r="C559" s="3"/>
      <c r="D559" s="3"/>
      <c r="E559" s="3"/>
      <c r="F559" s="3"/>
      <c r="G559" s="3"/>
      <c r="H559" s="3"/>
      <c r="I559" s="3"/>
      <c r="J559" s="3"/>
      <c r="K559" s="3"/>
      <c r="L559" s="3"/>
      <c r="M559" s="3"/>
      <c r="N559" s="3"/>
      <c r="O559" s="3"/>
      <c r="P559" s="3"/>
    </row>
    <row r="560">
      <c r="A560" s="3"/>
      <c r="B560" s="3"/>
      <c r="C560" s="3"/>
      <c r="D560" s="3"/>
      <c r="E560" s="3"/>
      <c r="F560" s="3"/>
      <c r="G560" s="3"/>
      <c r="H560" s="3"/>
      <c r="I560" s="3"/>
      <c r="J560" s="3"/>
      <c r="K560" s="3"/>
      <c r="L560" s="3"/>
      <c r="M560" s="3"/>
      <c r="N560" s="3"/>
      <c r="O560" s="3"/>
      <c r="P560" s="3"/>
    </row>
    <row r="561">
      <c r="A561" s="3"/>
      <c r="B561" s="3"/>
      <c r="C561" s="3"/>
      <c r="D561" s="3"/>
      <c r="E561" s="3"/>
      <c r="F561" s="3"/>
      <c r="G561" s="3"/>
      <c r="H561" s="3"/>
      <c r="I561" s="3"/>
      <c r="J561" s="3"/>
      <c r="K561" s="3"/>
      <c r="L561" s="3"/>
      <c r="M561" s="3"/>
      <c r="N561" s="3"/>
      <c r="O561" s="3"/>
      <c r="P561" s="3"/>
    </row>
    <row r="562">
      <c r="A562" s="3"/>
      <c r="B562" s="3"/>
      <c r="C562" s="3"/>
      <c r="D562" s="3"/>
      <c r="E562" s="3"/>
      <c r="F562" s="3"/>
      <c r="G562" s="3"/>
      <c r="H562" s="3"/>
      <c r="I562" s="3"/>
      <c r="J562" s="3"/>
      <c r="K562" s="3"/>
      <c r="L562" s="3"/>
      <c r="M562" s="3"/>
      <c r="N562" s="3"/>
      <c r="O562" s="3"/>
      <c r="P562" s="3"/>
    </row>
    <row r="563">
      <c r="A563" s="3"/>
      <c r="B563" s="3"/>
      <c r="C563" s="3"/>
      <c r="D563" s="3"/>
      <c r="E563" s="3"/>
      <c r="F563" s="3"/>
      <c r="G563" s="3"/>
      <c r="H563" s="3"/>
      <c r="I563" s="3"/>
      <c r="J563" s="3"/>
      <c r="K563" s="3"/>
      <c r="L563" s="3"/>
      <c r="M563" s="3"/>
      <c r="N563" s="3"/>
      <c r="O563" s="3"/>
      <c r="P563" s="3"/>
    </row>
    <row r="564">
      <c r="A564" s="3"/>
      <c r="B564" s="3"/>
      <c r="C564" s="3"/>
      <c r="D564" s="3"/>
      <c r="E564" s="3"/>
      <c r="F564" s="3"/>
      <c r="G564" s="3"/>
      <c r="H564" s="3"/>
      <c r="I564" s="3"/>
      <c r="J564" s="3"/>
      <c r="K564" s="3"/>
      <c r="L564" s="3"/>
      <c r="M564" s="3"/>
      <c r="N564" s="3"/>
      <c r="O564" s="3"/>
      <c r="P564" s="3"/>
    </row>
    <row r="565">
      <c r="A565" s="3"/>
      <c r="B565" s="3"/>
      <c r="C565" s="3"/>
      <c r="D565" s="3"/>
      <c r="E565" s="3"/>
      <c r="F565" s="3"/>
      <c r="G565" s="3"/>
      <c r="H565" s="3"/>
      <c r="I565" s="3"/>
      <c r="J565" s="3"/>
      <c r="K565" s="3"/>
      <c r="L565" s="3"/>
      <c r="M565" s="3"/>
      <c r="N565" s="3"/>
      <c r="O565" s="3"/>
      <c r="P565" s="3"/>
    </row>
    <row r="566">
      <c r="A566" s="3"/>
      <c r="B566" s="3"/>
      <c r="C566" s="3"/>
      <c r="D566" s="3"/>
      <c r="E566" s="3"/>
      <c r="F566" s="3"/>
      <c r="G566" s="3"/>
      <c r="H566" s="3"/>
      <c r="I566" s="3"/>
      <c r="J566" s="3"/>
      <c r="K566" s="3"/>
      <c r="L566" s="3"/>
      <c r="M566" s="3"/>
      <c r="N566" s="3"/>
      <c r="O566" s="3"/>
      <c r="P566" s="3"/>
    </row>
    <row r="567">
      <c r="A567" s="3"/>
      <c r="B567" s="3"/>
      <c r="C567" s="3"/>
      <c r="D567" s="3"/>
      <c r="E567" s="3"/>
      <c r="F567" s="3"/>
      <c r="G567" s="3"/>
      <c r="H567" s="3"/>
      <c r="I567" s="3"/>
      <c r="J567" s="3"/>
      <c r="K567" s="3"/>
      <c r="L567" s="3"/>
      <c r="M567" s="3"/>
      <c r="N567" s="3"/>
      <c r="O567" s="3"/>
      <c r="P567" s="3"/>
    </row>
    <row r="568">
      <c r="A568" s="3"/>
      <c r="B568" s="3"/>
      <c r="C568" s="3"/>
      <c r="D568" s="3"/>
      <c r="E568" s="3"/>
      <c r="F568" s="3"/>
      <c r="G568" s="3"/>
      <c r="H568" s="3"/>
      <c r="I568" s="3"/>
      <c r="J568" s="3"/>
      <c r="K568" s="3"/>
      <c r="L568" s="3"/>
      <c r="M568" s="3"/>
      <c r="N568" s="3"/>
      <c r="O568" s="3"/>
      <c r="P568" s="3"/>
    </row>
    <row r="569">
      <c r="A569" s="3"/>
      <c r="B569" s="3"/>
      <c r="C569" s="3"/>
      <c r="D569" s="3"/>
      <c r="E569" s="3"/>
      <c r="F569" s="3"/>
      <c r="G569" s="3"/>
      <c r="H569" s="3"/>
      <c r="I569" s="3"/>
      <c r="J569" s="3"/>
      <c r="K569" s="3"/>
      <c r="L569" s="3"/>
      <c r="M569" s="3"/>
      <c r="N569" s="3"/>
      <c r="O569" s="3"/>
      <c r="P569" s="3"/>
    </row>
    <row r="570">
      <c r="A570" s="3"/>
      <c r="B570" s="3"/>
      <c r="C570" s="3"/>
      <c r="D570" s="3"/>
      <c r="E570" s="3"/>
      <c r="F570" s="3"/>
      <c r="G570" s="3"/>
      <c r="H570" s="3"/>
      <c r="I570" s="3"/>
      <c r="J570" s="3"/>
      <c r="K570" s="3"/>
      <c r="L570" s="3"/>
      <c r="M570" s="3"/>
      <c r="N570" s="3"/>
      <c r="O570" s="3"/>
      <c r="P570" s="3"/>
    </row>
    <row r="571">
      <c r="A571" s="3"/>
      <c r="B571" s="3"/>
      <c r="C571" s="3"/>
      <c r="D571" s="3"/>
      <c r="E571" s="3"/>
      <c r="F571" s="3"/>
      <c r="G571" s="3"/>
      <c r="H571" s="3"/>
      <c r="I571" s="3"/>
      <c r="J571" s="3"/>
      <c r="K571" s="3"/>
      <c r="L571" s="3"/>
      <c r="M571" s="3"/>
      <c r="N571" s="3"/>
      <c r="O571" s="3"/>
      <c r="P571" s="3"/>
    </row>
    <row r="572">
      <c r="A572" s="3"/>
      <c r="B572" s="3"/>
      <c r="C572" s="3"/>
      <c r="D572" s="3"/>
      <c r="E572" s="3"/>
      <c r="F572" s="3"/>
      <c r="G572" s="3"/>
      <c r="H572" s="3"/>
      <c r="I572" s="3"/>
      <c r="J572" s="3"/>
      <c r="K572" s="3"/>
      <c r="L572" s="3"/>
      <c r="M572" s="3"/>
      <c r="N572" s="3"/>
      <c r="O572" s="3"/>
      <c r="P572" s="3"/>
    </row>
    <row r="573">
      <c r="A573" s="3"/>
      <c r="B573" s="3"/>
      <c r="C573" s="3"/>
      <c r="D573" s="3"/>
      <c r="E573" s="3"/>
      <c r="F573" s="3"/>
      <c r="G573" s="3"/>
      <c r="H573" s="3"/>
      <c r="I573" s="3"/>
      <c r="J573" s="3"/>
      <c r="K573" s="3"/>
      <c r="L573" s="3"/>
      <c r="M573" s="3"/>
      <c r="N573" s="3"/>
      <c r="O573" s="3"/>
      <c r="P573" s="3"/>
    </row>
    <row r="574">
      <c r="A574" s="3"/>
      <c r="B574" s="3"/>
      <c r="C574" s="3"/>
      <c r="D574" s="3"/>
      <c r="E574" s="3"/>
      <c r="F574" s="3"/>
      <c r="G574" s="3"/>
      <c r="H574" s="3"/>
      <c r="I574" s="3"/>
      <c r="J574" s="3"/>
      <c r="K574" s="3"/>
      <c r="L574" s="3"/>
      <c r="M574" s="3"/>
      <c r="N574" s="3"/>
      <c r="O574" s="3"/>
      <c r="P574" s="3"/>
    </row>
    <row r="575">
      <c r="A575" s="3"/>
      <c r="B575" s="3"/>
      <c r="C575" s="3"/>
      <c r="D575" s="3"/>
      <c r="E575" s="3"/>
      <c r="F575" s="3"/>
      <c r="G575" s="3"/>
      <c r="H575" s="3"/>
      <c r="I575" s="3"/>
      <c r="J575" s="3"/>
      <c r="K575" s="3"/>
      <c r="L575" s="3"/>
      <c r="M575" s="3"/>
      <c r="N575" s="3"/>
      <c r="O575" s="3"/>
      <c r="P575" s="3"/>
    </row>
    <row r="576">
      <c r="A576" s="3"/>
      <c r="B576" s="3"/>
      <c r="C576" s="3"/>
      <c r="D576" s="3"/>
      <c r="E576" s="3"/>
      <c r="F576" s="3"/>
      <c r="G576" s="3"/>
      <c r="H576" s="3"/>
      <c r="I576" s="3"/>
      <c r="J576" s="3"/>
      <c r="K576" s="3"/>
      <c r="L576" s="3"/>
      <c r="M576" s="3"/>
      <c r="N576" s="3"/>
      <c r="O576" s="3"/>
      <c r="P576" s="3"/>
    </row>
    <row r="577">
      <c r="A577" s="3"/>
      <c r="B577" s="3"/>
      <c r="C577" s="3"/>
      <c r="D577" s="3"/>
      <c r="E577" s="3"/>
      <c r="F577" s="3"/>
      <c r="G577" s="3"/>
      <c r="H577" s="3"/>
      <c r="I577" s="3"/>
      <c r="J577" s="3"/>
      <c r="K577" s="3"/>
      <c r="L577" s="3"/>
      <c r="M577" s="3"/>
      <c r="N577" s="3"/>
      <c r="O577" s="3"/>
      <c r="P577" s="3"/>
    </row>
    <row r="578">
      <c r="A578" s="3"/>
      <c r="B578" s="3"/>
      <c r="C578" s="3"/>
      <c r="D578" s="3"/>
      <c r="E578" s="3"/>
      <c r="F578" s="3"/>
      <c r="G578" s="3"/>
      <c r="H578" s="3"/>
      <c r="I578" s="3"/>
      <c r="J578" s="3"/>
      <c r="K578" s="3"/>
      <c r="L578" s="3"/>
      <c r="M578" s="3"/>
      <c r="N578" s="3"/>
      <c r="O578" s="3"/>
      <c r="P578" s="3"/>
    </row>
    <row r="579">
      <c r="A579" s="3"/>
      <c r="B579" s="3"/>
      <c r="C579" s="3"/>
      <c r="D579" s="3"/>
      <c r="E579" s="3"/>
      <c r="F579" s="3"/>
      <c r="G579" s="3"/>
      <c r="H579" s="3"/>
      <c r="I579" s="3"/>
      <c r="J579" s="3"/>
      <c r="K579" s="3"/>
      <c r="L579" s="3"/>
      <c r="M579" s="3"/>
      <c r="N579" s="3"/>
      <c r="O579" s="3"/>
      <c r="P579" s="3"/>
    </row>
    <row r="580">
      <c r="A580" s="3"/>
      <c r="B580" s="3"/>
      <c r="C580" s="3"/>
      <c r="D580" s="3"/>
      <c r="E580" s="3"/>
      <c r="F580" s="3"/>
      <c r="G580" s="3"/>
      <c r="H580" s="3"/>
      <c r="I580" s="3"/>
      <c r="J580" s="3"/>
      <c r="K580" s="3"/>
      <c r="L580" s="3"/>
      <c r="M580" s="3"/>
      <c r="N580" s="3"/>
      <c r="O580" s="3"/>
      <c r="P580" s="3"/>
    </row>
    <row r="581">
      <c r="A581" s="3"/>
      <c r="B581" s="3"/>
      <c r="C581" s="3"/>
      <c r="D581" s="3"/>
      <c r="E581" s="3"/>
      <c r="F581" s="3"/>
      <c r="G581" s="3"/>
      <c r="H581" s="3"/>
      <c r="I581" s="3"/>
      <c r="J581" s="3"/>
      <c r="K581" s="3"/>
      <c r="L581" s="3"/>
      <c r="M581" s="3"/>
      <c r="N581" s="3"/>
      <c r="O581" s="3"/>
      <c r="P581" s="3"/>
    </row>
    <row r="582">
      <c r="A582" s="3"/>
      <c r="B582" s="3"/>
      <c r="C582" s="3"/>
      <c r="D582" s="3"/>
      <c r="E582" s="3"/>
      <c r="F582" s="3"/>
      <c r="G582" s="3"/>
      <c r="H582" s="3"/>
      <c r="I582" s="3"/>
      <c r="J582" s="3"/>
      <c r="K582" s="3"/>
      <c r="L582" s="3"/>
      <c r="M582" s="3"/>
      <c r="N582" s="3"/>
      <c r="O582" s="3"/>
      <c r="P582" s="3"/>
    </row>
    <row r="583">
      <c r="A583" s="3"/>
      <c r="B583" s="3"/>
      <c r="C583" s="3"/>
      <c r="D583" s="3"/>
      <c r="E583" s="3"/>
      <c r="F583" s="3"/>
      <c r="G583" s="3"/>
      <c r="H583" s="3"/>
      <c r="I583" s="3"/>
      <c r="J583" s="3"/>
      <c r="K583" s="3"/>
      <c r="L583" s="3"/>
      <c r="M583" s="3"/>
      <c r="N583" s="3"/>
      <c r="O583" s="3"/>
      <c r="P583" s="3"/>
    </row>
    <row r="584">
      <c r="A584" s="3"/>
      <c r="B584" s="3"/>
      <c r="C584" s="3"/>
      <c r="D584" s="3"/>
      <c r="E584" s="3"/>
      <c r="F584" s="3"/>
      <c r="G584" s="3"/>
      <c r="H584" s="3"/>
      <c r="I584" s="3"/>
      <c r="J584" s="3"/>
      <c r="K584" s="3"/>
      <c r="L584" s="3"/>
      <c r="M584" s="3"/>
      <c r="N584" s="3"/>
      <c r="O584" s="3"/>
      <c r="P584" s="3"/>
    </row>
    <row r="585">
      <c r="A585" s="3"/>
      <c r="B585" s="3"/>
      <c r="C585" s="3"/>
      <c r="D585" s="3"/>
      <c r="E585" s="3"/>
      <c r="F585" s="3"/>
      <c r="G585" s="3"/>
      <c r="H585" s="3"/>
      <c r="I585" s="3"/>
      <c r="J585" s="3"/>
      <c r="K585" s="3"/>
      <c r="L585" s="3"/>
      <c r="M585" s="3"/>
      <c r="N585" s="3"/>
      <c r="O585" s="3"/>
      <c r="P585" s="3"/>
    </row>
    <row r="586">
      <c r="A586" s="3"/>
      <c r="B586" s="3"/>
      <c r="C586" s="3"/>
      <c r="D586" s="3"/>
      <c r="E586" s="3"/>
      <c r="F586" s="3"/>
      <c r="G586" s="3"/>
      <c r="H586" s="3"/>
      <c r="I586" s="3"/>
      <c r="J586" s="3"/>
      <c r="K586" s="3"/>
      <c r="L586" s="3"/>
      <c r="M586" s="3"/>
      <c r="N586" s="3"/>
      <c r="O586" s="3"/>
      <c r="P586" s="3"/>
    </row>
    <row r="587">
      <c r="A587" s="3"/>
      <c r="B587" s="3"/>
      <c r="C587" s="3"/>
      <c r="D587" s="3"/>
      <c r="E587" s="3"/>
      <c r="F587" s="3"/>
      <c r="G587" s="3"/>
      <c r="H587" s="3"/>
      <c r="I587" s="3"/>
      <c r="J587" s="3"/>
      <c r="K587" s="3"/>
      <c r="L587" s="3"/>
      <c r="M587" s="3"/>
      <c r="N587" s="3"/>
      <c r="O587" s="3"/>
      <c r="P587" s="3"/>
    </row>
    <row r="588">
      <c r="A588" s="3"/>
      <c r="B588" s="3"/>
      <c r="C588" s="3"/>
      <c r="D588" s="3"/>
      <c r="E588" s="3"/>
      <c r="F588" s="3"/>
      <c r="G588" s="3"/>
      <c r="H588" s="3"/>
      <c r="I588" s="3"/>
      <c r="J588" s="3"/>
      <c r="K588" s="3"/>
      <c r="L588" s="3"/>
      <c r="M588" s="3"/>
      <c r="N588" s="3"/>
      <c r="O588" s="3"/>
      <c r="P588" s="3"/>
    </row>
    <row r="589">
      <c r="A589" s="3"/>
      <c r="B589" s="3"/>
      <c r="C589" s="3"/>
      <c r="D589" s="3"/>
      <c r="E589" s="3"/>
      <c r="F589" s="3"/>
      <c r="G589" s="3"/>
      <c r="H589" s="3"/>
      <c r="I589" s="3"/>
      <c r="J589" s="3"/>
      <c r="K589" s="3"/>
      <c r="L589" s="3"/>
      <c r="M589" s="3"/>
      <c r="N589" s="3"/>
      <c r="O589" s="3"/>
      <c r="P589" s="3"/>
    </row>
    <row r="590">
      <c r="A590" s="3"/>
      <c r="B590" s="3"/>
      <c r="C590" s="3"/>
      <c r="D590" s="3"/>
      <c r="E590" s="3"/>
      <c r="F590" s="3"/>
      <c r="G590" s="3"/>
      <c r="H590" s="3"/>
      <c r="I590" s="3"/>
      <c r="J590" s="3"/>
      <c r="K590" s="3"/>
      <c r="L590" s="3"/>
      <c r="M590" s="3"/>
      <c r="N590" s="3"/>
      <c r="O590" s="3"/>
      <c r="P590" s="3"/>
    </row>
    <row r="591">
      <c r="A591" s="3"/>
      <c r="B591" s="3"/>
      <c r="C591" s="3"/>
      <c r="D591" s="3"/>
      <c r="E591" s="3"/>
      <c r="F591" s="3"/>
      <c r="G591" s="3"/>
      <c r="H591" s="3"/>
      <c r="I591" s="3"/>
      <c r="J591" s="3"/>
      <c r="K591" s="3"/>
      <c r="L591" s="3"/>
      <c r="M591" s="3"/>
      <c r="N591" s="3"/>
      <c r="O591" s="3"/>
      <c r="P591" s="3"/>
    </row>
    <row r="592">
      <c r="A592" s="3"/>
      <c r="B592" s="3"/>
      <c r="C592" s="3"/>
      <c r="D592" s="3"/>
      <c r="E592" s="3"/>
      <c r="F592" s="3"/>
      <c r="G592" s="3"/>
      <c r="H592" s="3"/>
      <c r="I592" s="3"/>
      <c r="J592" s="3"/>
      <c r="K592" s="3"/>
      <c r="L592" s="3"/>
      <c r="M592" s="3"/>
      <c r="N592" s="3"/>
      <c r="O592" s="3"/>
      <c r="P592" s="3"/>
    </row>
    <row r="593">
      <c r="A593" s="3"/>
      <c r="B593" s="3"/>
      <c r="C593" s="3"/>
      <c r="D593" s="3"/>
      <c r="E593" s="3"/>
      <c r="F593" s="3"/>
      <c r="G593" s="3"/>
      <c r="H593" s="3"/>
      <c r="I593" s="3"/>
      <c r="J593" s="3"/>
      <c r="K593" s="3"/>
      <c r="L593" s="3"/>
      <c r="M593" s="3"/>
      <c r="N593" s="3"/>
      <c r="O593" s="3"/>
      <c r="P593" s="3"/>
    </row>
    <row r="594">
      <c r="A594" s="3"/>
      <c r="B594" s="3"/>
      <c r="C594" s="3"/>
      <c r="D594" s="3"/>
      <c r="E594" s="3"/>
      <c r="F594" s="3"/>
      <c r="G594" s="3"/>
      <c r="H594" s="3"/>
      <c r="I594" s="3"/>
      <c r="J594" s="3"/>
      <c r="K594" s="3"/>
      <c r="L594" s="3"/>
      <c r="M594" s="3"/>
      <c r="N594" s="3"/>
      <c r="O594" s="3"/>
      <c r="P594" s="3"/>
    </row>
    <row r="595">
      <c r="A595" s="3"/>
      <c r="B595" s="3"/>
      <c r="C595" s="3"/>
      <c r="D595" s="3"/>
      <c r="E595" s="3"/>
      <c r="F595" s="3"/>
      <c r="G595" s="3"/>
      <c r="H595" s="3"/>
      <c r="I595" s="3"/>
      <c r="J595" s="3"/>
      <c r="K595" s="3"/>
      <c r="L595" s="3"/>
      <c r="M595" s="3"/>
      <c r="N595" s="3"/>
      <c r="O595" s="3"/>
      <c r="P595" s="3"/>
    </row>
    <row r="596">
      <c r="A596" s="3"/>
      <c r="B596" s="3"/>
      <c r="C596" s="3"/>
      <c r="D596" s="3"/>
      <c r="E596" s="3"/>
      <c r="F596" s="3"/>
      <c r="G596" s="3"/>
      <c r="H596" s="3"/>
      <c r="I596" s="3"/>
      <c r="J596" s="3"/>
      <c r="K596" s="3"/>
      <c r="L596" s="3"/>
      <c r="M596" s="3"/>
      <c r="N596" s="3"/>
      <c r="O596" s="3"/>
      <c r="P596" s="3"/>
    </row>
    <row r="597">
      <c r="A597" s="3"/>
      <c r="B597" s="3"/>
      <c r="C597" s="3"/>
      <c r="D597" s="3"/>
      <c r="E597" s="3"/>
      <c r="F597" s="3"/>
      <c r="G597" s="3"/>
      <c r="H597" s="3"/>
      <c r="I597" s="3"/>
      <c r="J597" s="3"/>
      <c r="K597" s="3"/>
      <c r="L597" s="3"/>
      <c r="M597" s="3"/>
      <c r="N597" s="3"/>
      <c r="O597" s="3"/>
      <c r="P597" s="3"/>
    </row>
    <row r="598">
      <c r="A598" s="3"/>
      <c r="B598" s="3"/>
      <c r="C598" s="3"/>
      <c r="D598" s="3"/>
      <c r="E598" s="3"/>
      <c r="F598" s="3"/>
      <c r="G598" s="3"/>
      <c r="H598" s="3"/>
      <c r="I598" s="3"/>
      <c r="J598" s="3"/>
      <c r="K598" s="3"/>
      <c r="L598" s="3"/>
      <c r="M598" s="3"/>
      <c r="N598" s="3"/>
      <c r="O598" s="3"/>
      <c r="P598" s="3"/>
    </row>
    <row r="599">
      <c r="A599" s="3"/>
      <c r="B599" s="3"/>
      <c r="C599" s="3"/>
      <c r="D599" s="3"/>
      <c r="E599" s="3"/>
      <c r="F599" s="3"/>
      <c r="G599" s="3"/>
      <c r="H599" s="3"/>
      <c r="I599" s="3"/>
      <c r="J599" s="3"/>
      <c r="K599" s="3"/>
      <c r="L599" s="3"/>
      <c r="M599" s="3"/>
      <c r="N599" s="3"/>
      <c r="O599" s="3"/>
      <c r="P599" s="3"/>
    </row>
    <row r="600">
      <c r="A600" s="3"/>
      <c r="B600" s="3"/>
      <c r="C600" s="3"/>
      <c r="D600" s="3"/>
      <c r="E600" s="3"/>
      <c r="F600" s="3"/>
      <c r="G600" s="3"/>
      <c r="H600" s="3"/>
      <c r="I600" s="3"/>
      <c r="J600" s="3"/>
      <c r="K600" s="3"/>
      <c r="L600" s="3"/>
      <c r="M600" s="3"/>
      <c r="N600" s="3"/>
      <c r="O600" s="3"/>
      <c r="P600" s="3"/>
    </row>
    <row r="601">
      <c r="A601" s="3"/>
      <c r="B601" s="3"/>
      <c r="C601" s="3"/>
      <c r="D601" s="3"/>
      <c r="E601" s="3"/>
      <c r="F601" s="3"/>
      <c r="G601" s="3"/>
      <c r="H601" s="3"/>
      <c r="I601" s="3"/>
      <c r="J601" s="3"/>
      <c r="K601" s="3"/>
      <c r="L601" s="3"/>
      <c r="M601" s="3"/>
      <c r="N601" s="3"/>
      <c r="O601" s="3"/>
      <c r="P601" s="3"/>
    </row>
    <row r="602">
      <c r="A602" s="3"/>
      <c r="B602" s="3"/>
      <c r="C602" s="3"/>
      <c r="D602" s="3"/>
      <c r="E602" s="3"/>
      <c r="F602" s="3"/>
      <c r="G602" s="3"/>
      <c r="H602" s="3"/>
      <c r="I602" s="3"/>
      <c r="J602" s="3"/>
      <c r="K602" s="3"/>
      <c r="L602" s="3"/>
      <c r="M602" s="3"/>
      <c r="N602" s="3"/>
      <c r="O602" s="3"/>
      <c r="P602" s="3"/>
    </row>
    <row r="603">
      <c r="A603" s="3"/>
      <c r="B603" s="3"/>
      <c r="C603" s="3"/>
      <c r="D603" s="3"/>
      <c r="E603" s="3"/>
      <c r="F603" s="3"/>
      <c r="G603" s="3"/>
      <c r="H603" s="3"/>
      <c r="I603" s="3"/>
      <c r="J603" s="3"/>
      <c r="K603" s="3"/>
      <c r="L603" s="3"/>
      <c r="M603" s="3"/>
      <c r="N603" s="3"/>
      <c r="O603" s="3"/>
      <c r="P603" s="3"/>
    </row>
    <row r="604">
      <c r="A604" s="3"/>
      <c r="B604" s="3"/>
      <c r="C604" s="3"/>
      <c r="D604" s="3"/>
      <c r="E604" s="3"/>
      <c r="F604" s="3"/>
      <c r="G604" s="3"/>
      <c r="H604" s="3"/>
      <c r="I604" s="3"/>
      <c r="J604" s="3"/>
      <c r="K604" s="3"/>
      <c r="L604" s="3"/>
      <c r="M604" s="3"/>
      <c r="N604" s="3"/>
      <c r="O604" s="3"/>
      <c r="P604" s="3"/>
    </row>
    <row r="605">
      <c r="A605" s="3"/>
      <c r="B605" s="3"/>
      <c r="C605" s="3"/>
      <c r="D605" s="3"/>
      <c r="E605" s="3"/>
      <c r="F605" s="3"/>
      <c r="G605" s="3"/>
      <c r="H605" s="3"/>
      <c r="I605" s="3"/>
      <c r="J605" s="3"/>
      <c r="K605" s="3"/>
      <c r="L605" s="3"/>
      <c r="M605" s="3"/>
      <c r="N605" s="3"/>
      <c r="O605" s="3"/>
      <c r="P605" s="3"/>
    </row>
    <row r="606">
      <c r="A606" s="3"/>
      <c r="B606" s="3"/>
      <c r="C606" s="3"/>
      <c r="D606" s="3"/>
      <c r="E606" s="3"/>
      <c r="F606" s="3"/>
      <c r="G606" s="3"/>
      <c r="H606" s="3"/>
      <c r="I606" s="3"/>
      <c r="J606" s="3"/>
      <c r="K606" s="3"/>
      <c r="L606" s="3"/>
      <c r="M606" s="3"/>
      <c r="N606" s="3"/>
      <c r="O606" s="3"/>
      <c r="P606" s="3"/>
    </row>
    <row r="607">
      <c r="A607" s="3"/>
      <c r="B607" s="3"/>
      <c r="C607" s="3"/>
      <c r="D607" s="3"/>
      <c r="E607" s="3"/>
      <c r="F607" s="3"/>
      <c r="G607" s="3"/>
      <c r="H607" s="3"/>
      <c r="I607" s="3"/>
      <c r="J607" s="3"/>
      <c r="K607" s="3"/>
      <c r="L607" s="3"/>
      <c r="M607" s="3"/>
      <c r="N607" s="3"/>
      <c r="O607" s="3"/>
      <c r="P607" s="3"/>
    </row>
    <row r="608">
      <c r="A608" s="3"/>
      <c r="B608" s="3"/>
      <c r="C608" s="3"/>
      <c r="D608" s="3"/>
      <c r="E608" s="3"/>
      <c r="F608" s="3"/>
      <c r="G608" s="3"/>
      <c r="H608" s="3"/>
      <c r="I608" s="3"/>
      <c r="J608" s="3"/>
      <c r="K608" s="3"/>
      <c r="L608" s="3"/>
      <c r="M608" s="3"/>
      <c r="N608" s="3"/>
      <c r="O608" s="3"/>
      <c r="P608" s="3"/>
    </row>
    <row r="609">
      <c r="A609" s="3"/>
      <c r="B609" s="3"/>
      <c r="C609" s="3"/>
      <c r="D609" s="3"/>
      <c r="E609" s="3"/>
      <c r="F609" s="3"/>
      <c r="G609" s="3"/>
      <c r="H609" s="3"/>
      <c r="I609" s="3"/>
      <c r="J609" s="3"/>
      <c r="K609" s="3"/>
      <c r="L609" s="3"/>
      <c r="M609" s="3"/>
      <c r="N609" s="3"/>
      <c r="O609" s="3"/>
      <c r="P609" s="3"/>
    </row>
    <row r="610">
      <c r="A610" s="3"/>
      <c r="B610" s="3"/>
      <c r="C610" s="3"/>
      <c r="D610" s="3"/>
      <c r="E610" s="3"/>
      <c r="F610" s="3"/>
      <c r="G610" s="3"/>
      <c r="H610" s="3"/>
      <c r="I610" s="3"/>
      <c r="J610" s="3"/>
      <c r="K610" s="3"/>
      <c r="L610" s="3"/>
      <c r="M610" s="3"/>
      <c r="N610" s="3"/>
      <c r="O610" s="3"/>
      <c r="P610" s="3"/>
    </row>
    <row r="611">
      <c r="A611" s="3"/>
      <c r="B611" s="3"/>
      <c r="C611" s="3"/>
      <c r="D611" s="3"/>
      <c r="E611" s="3"/>
      <c r="F611" s="3"/>
      <c r="G611" s="3"/>
      <c r="H611" s="3"/>
      <c r="I611" s="3"/>
      <c r="J611" s="3"/>
      <c r="K611" s="3"/>
      <c r="L611" s="3"/>
      <c r="M611" s="3"/>
      <c r="N611" s="3"/>
      <c r="O611" s="3"/>
      <c r="P611" s="3"/>
    </row>
    <row r="612">
      <c r="A612" s="3"/>
      <c r="B612" s="3"/>
      <c r="C612" s="3"/>
      <c r="D612" s="3"/>
      <c r="E612" s="3"/>
      <c r="F612" s="3"/>
      <c r="G612" s="3"/>
      <c r="H612" s="3"/>
      <c r="I612" s="3"/>
      <c r="J612" s="3"/>
      <c r="K612" s="3"/>
      <c r="L612" s="3"/>
      <c r="M612" s="3"/>
      <c r="N612" s="3"/>
      <c r="O612" s="3"/>
      <c r="P612" s="3"/>
    </row>
    <row r="613">
      <c r="A613" s="3"/>
      <c r="B613" s="3"/>
      <c r="C613" s="3"/>
      <c r="D613" s="3"/>
      <c r="E613" s="3"/>
      <c r="F613" s="3"/>
      <c r="G613" s="3"/>
      <c r="H613" s="3"/>
      <c r="I613" s="3"/>
      <c r="J613" s="3"/>
      <c r="K613" s="3"/>
      <c r="L613" s="3"/>
      <c r="M613" s="3"/>
      <c r="N613" s="3"/>
      <c r="O613" s="3"/>
      <c r="P613" s="3"/>
    </row>
    <row r="614">
      <c r="A614" s="3"/>
      <c r="B614" s="3"/>
      <c r="C614" s="3"/>
      <c r="D614" s="3"/>
      <c r="E614" s="3"/>
      <c r="F614" s="3"/>
      <c r="G614" s="3"/>
      <c r="H614" s="3"/>
      <c r="I614" s="3"/>
      <c r="J614" s="3"/>
      <c r="K614" s="3"/>
      <c r="L614" s="3"/>
      <c r="M614" s="3"/>
      <c r="N614" s="3"/>
      <c r="O614" s="3"/>
      <c r="P614" s="3"/>
    </row>
    <row r="615">
      <c r="A615" s="3"/>
      <c r="B615" s="3"/>
      <c r="C615" s="3"/>
      <c r="D615" s="3"/>
      <c r="E615" s="3"/>
      <c r="F615" s="3"/>
      <c r="G615" s="3"/>
      <c r="H615" s="3"/>
      <c r="I615" s="3"/>
      <c r="J615" s="3"/>
      <c r="K615" s="3"/>
      <c r="L615" s="3"/>
      <c r="M615" s="3"/>
      <c r="N615" s="3"/>
      <c r="O615" s="3"/>
      <c r="P615" s="3"/>
    </row>
    <row r="616">
      <c r="A616" s="3"/>
      <c r="B616" s="3"/>
      <c r="C616" s="3"/>
      <c r="D616" s="3"/>
      <c r="E616" s="3"/>
      <c r="F616" s="3"/>
      <c r="G616" s="3"/>
      <c r="H616" s="3"/>
      <c r="I616" s="3"/>
      <c r="J616" s="3"/>
      <c r="K616" s="3"/>
      <c r="L616" s="3"/>
      <c r="M616" s="3"/>
      <c r="N616" s="3"/>
      <c r="O616" s="3"/>
      <c r="P616" s="3"/>
    </row>
    <row r="617">
      <c r="A617" s="3"/>
      <c r="B617" s="3"/>
      <c r="C617" s="3"/>
      <c r="D617" s="3"/>
      <c r="E617" s="3"/>
      <c r="F617" s="3"/>
      <c r="G617" s="3"/>
      <c r="H617" s="3"/>
      <c r="I617" s="3"/>
      <c r="J617" s="3"/>
      <c r="K617" s="3"/>
      <c r="L617" s="3"/>
      <c r="M617" s="3"/>
      <c r="N617" s="3"/>
      <c r="O617" s="3"/>
      <c r="P617" s="3"/>
    </row>
    <row r="618">
      <c r="A618" s="3"/>
      <c r="B618" s="3"/>
      <c r="C618" s="3"/>
      <c r="D618" s="3"/>
      <c r="E618" s="3"/>
      <c r="F618" s="3"/>
      <c r="G618" s="3"/>
      <c r="H618" s="3"/>
      <c r="I618" s="3"/>
      <c r="J618" s="3"/>
      <c r="K618" s="3"/>
      <c r="L618" s="3"/>
      <c r="M618" s="3"/>
      <c r="N618" s="3"/>
      <c r="O618" s="3"/>
      <c r="P618" s="3"/>
    </row>
    <row r="619">
      <c r="A619" s="3"/>
      <c r="B619" s="3"/>
      <c r="C619" s="3"/>
      <c r="D619" s="3"/>
      <c r="E619" s="3"/>
      <c r="F619" s="3"/>
      <c r="G619" s="3"/>
      <c r="H619" s="3"/>
      <c r="I619" s="3"/>
      <c r="J619" s="3"/>
      <c r="K619" s="3"/>
      <c r="L619" s="3"/>
      <c r="M619" s="3"/>
      <c r="N619" s="3"/>
      <c r="O619" s="3"/>
      <c r="P619" s="3"/>
    </row>
    <row r="620">
      <c r="A620" s="3"/>
      <c r="B620" s="3"/>
      <c r="C620" s="3"/>
      <c r="D620" s="3"/>
      <c r="E620" s="3"/>
      <c r="F620" s="3"/>
      <c r="G620" s="3"/>
      <c r="H620" s="3"/>
      <c r="I620" s="3"/>
      <c r="J620" s="3"/>
      <c r="K620" s="3"/>
      <c r="L620" s="3"/>
      <c r="M620" s="3"/>
      <c r="N620" s="3"/>
      <c r="O620" s="3"/>
      <c r="P620" s="3"/>
    </row>
    <row r="621">
      <c r="A621" s="3"/>
      <c r="B621" s="3"/>
      <c r="C621" s="3"/>
      <c r="D621" s="3"/>
      <c r="E621" s="3"/>
      <c r="F621" s="3"/>
      <c r="G621" s="3"/>
      <c r="H621" s="3"/>
      <c r="I621" s="3"/>
      <c r="J621" s="3"/>
      <c r="K621" s="3"/>
      <c r="L621" s="3"/>
      <c r="M621" s="3"/>
      <c r="N621" s="3"/>
      <c r="O621" s="3"/>
      <c r="P621" s="3"/>
    </row>
    <row r="622">
      <c r="A622" s="3"/>
      <c r="B622" s="3"/>
      <c r="C622" s="3"/>
      <c r="D622" s="3"/>
      <c r="E622" s="3"/>
      <c r="F622" s="3"/>
      <c r="G622" s="3"/>
      <c r="H622" s="3"/>
      <c r="I622" s="3"/>
      <c r="J622" s="3"/>
      <c r="K622" s="3"/>
      <c r="L622" s="3"/>
      <c r="M622" s="3"/>
      <c r="N622" s="3"/>
      <c r="O622" s="3"/>
      <c r="P622" s="3"/>
    </row>
    <row r="623">
      <c r="A623" s="3"/>
      <c r="B623" s="3"/>
      <c r="C623" s="3"/>
      <c r="D623" s="3"/>
      <c r="E623" s="3"/>
      <c r="F623" s="3"/>
      <c r="G623" s="3"/>
      <c r="H623" s="3"/>
      <c r="I623" s="3"/>
      <c r="J623" s="3"/>
      <c r="K623" s="3"/>
      <c r="L623" s="3"/>
      <c r="M623" s="3"/>
      <c r="N623" s="3"/>
      <c r="O623" s="3"/>
      <c r="P623" s="3"/>
    </row>
    <row r="624">
      <c r="A624" s="3"/>
      <c r="B624" s="3"/>
      <c r="C624" s="3"/>
      <c r="D624" s="3"/>
      <c r="E624" s="3"/>
      <c r="F624" s="3"/>
      <c r="G624" s="3"/>
      <c r="H624" s="3"/>
      <c r="I624" s="3"/>
      <c r="J624" s="3"/>
      <c r="K624" s="3"/>
      <c r="L624" s="3"/>
      <c r="M624" s="3"/>
      <c r="N624" s="3"/>
      <c r="O624" s="3"/>
      <c r="P624" s="3"/>
    </row>
    <row r="625">
      <c r="A625" s="3"/>
      <c r="B625" s="3"/>
      <c r="C625" s="3"/>
      <c r="D625" s="3"/>
      <c r="E625" s="3"/>
      <c r="F625" s="3"/>
      <c r="G625" s="3"/>
      <c r="H625" s="3"/>
      <c r="I625" s="3"/>
      <c r="J625" s="3"/>
      <c r="K625" s="3"/>
      <c r="L625" s="3"/>
      <c r="M625" s="3"/>
      <c r="N625" s="3"/>
      <c r="O625" s="3"/>
      <c r="P625" s="3"/>
    </row>
    <row r="626">
      <c r="A626" s="3"/>
      <c r="B626" s="3"/>
      <c r="C626" s="3"/>
      <c r="D626" s="3"/>
      <c r="E626" s="3"/>
      <c r="F626" s="3"/>
      <c r="G626" s="3"/>
      <c r="H626" s="3"/>
      <c r="I626" s="3"/>
      <c r="J626" s="3"/>
      <c r="K626" s="3"/>
      <c r="L626" s="3"/>
      <c r="M626" s="3"/>
      <c r="N626" s="3"/>
      <c r="O626" s="3"/>
      <c r="P626" s="3"/>
    </row>
    <row r="627">
      <c r="A627" s="3"/>
      <c r="B627" s="3"/>
      <c r="C627" s="3"/>
      <c r="D627" s="3"/>
      <c r="E627" s="3"/>
      <c r="F627" s="3"/>
      <c r="G627" s="3"/>
      <c r="H627" s="3"/>
      <c r="I627" s="3"/>
      <c r="J627" s="3"/>
      <c r="K627" s="3"/>
      <c r="L627" s="3"/>
      <c r="M627" s="3"/>
      <c r="N627" s="3"/>
      <c r="O627" s="3"/>
      <c r="P627" s="3"/>
    </row>
    <row r="628">
      <c r="A628" s="3"/>
      <c r="B628" s="3"/>
      <c r="C628" s="3"/>
      <c r="D628" s="3"/>
      <c r="E628" s="3"/>
      <c r="F628" s="3"/>
      <c r="G628" s="3"/>
      <c r="H628" s="3"/>
      <c r="I628" s="3"/>
      <c r="J628" s="3"/>
      <c r="K628" s="3"/>
      <c r="L628" s="3"/>
      <c r="M628" s="3"/>
      <c r="N628" s="3"/>
      <c r="O628" s="3"/>
      <c r="P628" s="3"/>
    </row>
    <row r="629">
      <c r="A629" s="3"/>
      <c r="B629" s="3"/>
      <c r="C629" s="3"/>
      <c r="D629" s="3"/>
      <c r="E629" s="3"/>
      <c r="F629" s="3"/>
      <c r="G629" s="3"/>
      <c r="H629" s="3"/>
      <c r="I629" s="3"/>
      <c r="J629" s="3"/>
      <c r="K629" s="3"/>
      <c r="L629" s="3"/>
      <c r="M629" s="3"/>
      <c r="N629" s="3"/>
      <c r="O629" s="3"/>
      <c r="P629" s="3"/>
    </row>
    <row r="630">
      <c r="A630" s="3"/>
      <c r="B630" s="3"/>
      <c r="C630" s="3"/>
      <c r="D630" s="3"/>
      <c r="E630" s="3"/>
      <c r="F630" s="3"/>
      <c r="G630" s="3"/>
      <c r="H630" s="3"/>
      <c r="I630" s="3"/>
      <c r="J630" s="3"/>
      <c r="K630" s="3"/>
      <c r="L630" s="3"/>
      <c r="M630" s="3"/>
      <c r="N630" s="3"/>
      <c r="O630" s="3"/>
      <c r="P630" s="3"/>
    </row>
    <row r="631">
      <c r="A631" s="3"/>
      <c r="B631" s="3"/>
      <c r="C631" s="3"/>
      <c r="D631" s="3"/>
      <c r="E631" s="3"/>
      <c r="F631" s="3"/>
      <c r="G631" s="3"/>
      <c r="H631" s="3"/>
      <c r="I631" s="3"/>
      <c r="J631" s="3"/>
      <c r="K631" s="3"/>
      <c r="L631" s="3"/>
      <c r="M631" s="3"/>
      <c r="N631" s="3"/>
      <c r="O631" s="3"/>
      <c r="P631" s="3"/>
    </row>
    <row r="632">
      <c r="A632" s="3"/>
      <c r="B632" s="3"/>
      <c r="C632" s="3"/>
      <c r="D632" s="3"/>
      <c r="E632" s="3"/>
      <c r="F632" s="3"/>
      <c r="G632" s="3"/>
      <c r="H632" s="3"/>
      <c r="I632" s="3"/>
      <c r="J632" s="3"/>
      <c r="K632" s="3"/>
      <c r="L632" s="3"/>
      <c r="M632" s="3"/>
      <c r="N632" s="3"/>
      <c r="O632" s="3"/>
      <c r="P632" s="3"/>
    </row>
    <row r="633">
      <c r="A633" s="3"/>
      <c r="B633" s="3"/>
      <c r="C633" s="3"/>
      <c r="D633" s="3"/>
      <c r="E633" s="3"/>
      <c r="F633" s="3"/>
      <c r="G633" s="3"/>
      <c r="H633" s="3"/>
      <c r="I633" s="3"/>
      <c r="J633" s="3"/>
      <c r="K633" s="3"/>
      <c r="L633" s="3"/>
      <c r="M633" s="3"/>
      <c r="N633" s="3"/>
      <c r="O633" s="3"/>
      <c r="P633" s="3"/>
    </row>
    <row r="634">
      <c r="A634" s="3"/>
      <c r="B634" s="3"/>
      <c r="C634" s="3"/>
      <c r="D634" s="3"/>
      <c r="E634" s="3"/>
      <c r="F634" s="3"/>
      <c r="G634" s="3"/>
      <c r="H634" s="3"/>
      <c r="I634" s="3"/>
      <c r="J634" s="3"/>
      <c r="K634" s="3"/>
      <c r="L634" s="3"/>
      <c r="M634" s="3"/>
      <c r="N634" s="3"/>
      <c r="O634" s="3"/>
      <c r="P634" s="3"/>
    </row>
    <row r="635">
      <c r="A635" s="3"/>
      <c r="B635" s="3"/>
      <c r="C635" s="3"/>
      <c r="D635" s="3"/>
      <c r="E635" s="3"/>
      <c r="F635" s="3"/>
      <c r="G635" s="3"/>
      <c r="H635" s="3"/>
      <c r="I635" s="3"/>
      <c r="J635" s="3"/>
      <c r="K635" s="3"/>
      <c r="L635" s="3"/>
      <c r="M635" s="3"/>
      <c r="N635" s="3"/>
      <c r="O635" s="3"/>
      <c r="P635" s="3"/>
    </row>
    <row r="636">
      <c r="A636" s="3"/>
      <c r="B636" s="3"/>
      <c r="C636" s="3"/>
      <c r="D636" s="3"/>
      <c r="E636" s="3"/>
      <c r="F636" s="3"/>
      <c r="G636" s="3"/>
      <c r="H636" s="3"/>
      <c r="I636" s="3"/>
      <c r="J636" s="3"/>
      <c r="K636" s="3"/>
      <c r="L636" s="3"/>
      <c r="M636" s="3"/>
      <c r="N636" s="3"/>
      <c r="O636" s="3"/>
      <c r="P636" s="3"/>
    </row>
    <row r="637">
      <c r="A637" s="3"/>
      <c r="B637" s="3"/>
      <c r="C637" s="3"/>
      <c r="D637" s="3"/>
      <c r="E637" s="3"/>
      <c r="F637" s="3"/>
      <c r="G637" s="3"/>
      <c r="H637" s="3"/>
      <c r="I637" s="3"/>
      <c r="J637" s="3"/>
      <c r="K637" s="3"/>
      <c r="L637" s="3"/>
      <c r="M637" s="3"/>
      <c r="N637" s="3"/>
      <c r="O637" s="3"/>
      <c r="P637" s="3"/>
    </row>
    <row r="638">
      <c r="A638" s="3"/>
      <c r="B638" s="3"/>
      <c r="C638" s="3"/>
      <c r="D638" s="3"/>
      <c r="E638" s="3"/>
      <c r="F638" s="3"/>
      <c r="G638" s="3"/>
      <c r="H638" s="3"/>
      <c r="I638" s="3"/>
      <c r="J638" s="3"/>
      <c r="K638" s="3"/>
      <c r="L638" s="3"/>
      <c r="M638" s="3"/>
      <c r="N638" s="3"/>
      <c r="O638" s="3"/>
      <c r="P638" s="3"/>
    </row>
    <row r="639">
      <c r="A639" s="3"/>
      <c r="B639" s="3"/>
      <c r="C639" s="3"/>
      <c r="D639" s="3"/>
      <c r="E639" s="3"/>
      <c r="F639" s="3"/>
      <c r="G639" s="3"/>
      <c r="H639" s="3"/>
      <c r="I639" s="3"/>
      <c r="J639" s="3"/>
      <c r="K639" s="3"/>
      <c r="L639" s="3"/>
      <c r="M639" s="3"/>
      <c r="N639" s="3"/>
      <c r="O639" s="3"/>
      <c r="P639" s="3"/>
    </row>
    <row r="640">
      <c r="A640" s="3"/>
      <c r="B640" s="3"/>
      <c r="C640" s="3"/>
      <c r="D640" s="3"/>
      <c r="E640" s="3"/>
      <c r="F640" s="3"/>
      <c r="G640" s="3"/>
      <c r="H640" s="3"/>
      <c r="I640" s="3"/>
      <c r="J640" s="3"/>
      <c r="K640" s="3"/>
      <c r="L640" s="3"/>
      <c r="M640" s="3"/>
      <c r="N640" s="3"/>
      <c r="O640" s="3"/>
      <c r="P640" s="3"/>
    </row>
    <row r="641">
      <c r="A641" s="3"/>
      <c r="B641" s="3"/>
      <c r="C641" s="3"/>
      <c r="D641" s="3"/>
      <c r="E641" s="3"/>
      <c r="F641" s="3"/>
      <c r="G641" s="3"/>
      <c r="H641" s="3"/>
      <c r="I641" s="3"/>
      <c r="J641" s="3"/>
      <c r="K641" s="3"/>
      <c r="L641" s="3"/>
      <c r="M641" s="3"/>
      <c r="N641" s="3"/>
      <c r="O641" s="3"/>
      <c r="P641" s="3"/>
    </row>
    <row r="642">
      <c r="A642" s="3"/>
      <c r="B642" s="3"/>
      <c r="C642" s="3"/>
      <c r="D642" s="3"/>
      <c r="E642" s="3"/>
      <c r="F642" s="3"/>
      <c r="G642" s="3"/>
      <c r="H642" s="3"/>
      <c r="I642" s="3"/>
      <c r="J642" s="3"/>
      <c r="K642" s="3"/>
      <c r="L642" s="3"/>
      <c r="M642" s="3"/>
      <c r="N642" s="3"/>
      <c r="O642" s="3"/>
      <c r="P642" s="3"/>
    </row>
    <row r="643">
      <c r="A643" s="3"/>
      <c r="B643" s="3"/>
      <c r="C643" s="3"/>
      <c r="D643" s="3"/>
      <c r="E643" s="3"/>
      <c r="F643" s="3"/>
      <c r="G643" s="3"/>
      <c r="H643" s="3"/>
      <c r="I643" s="3"/>
      <c r="J643" s="3"/>
      <c r="K643" s="3"/>
      <c r="L643" s="3"/>
      <c r="M643" s="3"/>
      <c r="N643" s="3"/>
      <c r="O643" s="3"/>
      <c r="P643" s="3"/>
    </row>
    <row r="644">
      <c r="A644" s="3"/>
      <c r="B644" s="3"/>
      <c r="C644" s="3"/>
      <c r="D644" s="3"/>
      <c r="E644" s="3"/>
      <c r="F644" s="3"/>
      <c r="G644" s="3"/>
      <c r="H644" s="3"/>
      <c r="I644" s="3"/>
      <c r="J644" s="3"/>
      <c r="K644" s="3"/>
      <c r="L644" s="3"/>
      <c r="M644" s="3"/>
      <c r="N644" s="3"/>
      <c r="O644" s="3"/>
      <c r="P644" s="3"/>
    </row>
    <row r="645">
      <c r="A645" s="3"/>
      <c r="B645" s="3"/>
      <c r="C645" s="3"/>
      <c r="D645" s="3"/>
      <c r="E645" s="3"/>
      <c r="F645" s="3"/>
      <c r="G645" s="3"/>
      <c r="H645" s="3"/>
      <c r="I645" s="3"/>
      <c r="J645" s="3"/>
      <c r="K645" s="3"/>
      <c r="L645" s="3"/>
      <c r="M645" s="3"/>
      <c r="N645" s="3"/>
      <c r="O645" s="3"/>
      <c r="P645" s="3"/>
    </row>
    <row r="646">
      <c r="A646" s="3"/>
      <c r="B646" s="3"/>
      <c r="C646" s="3"/>
      <c r="D646" s="3"/>
      <c r="E646" s="3"/>
      <c r="F646" s="3"/>
      <c r="G646" s="3"/>
      <c r="H646" s="3"/>
      <c r="I646" s="3"/>
      <c r="J646" s="3"/>
      <c r="K646" s="3"/>
      <c r="L646" s="3"/>
      <c r="M646" s="3"/>
      <c r="N646" s="3"/>
      <c r="O646" s="3"/>
      <c r="P646" s="3"/>
    </row>
    <row r="647">
      <c r="A647" s="3"/>
      <c r="B647" s="3"/>
      <c r="C647" s="3"/>
      <c r="D647" s="3"/>
      <c r="E647" s="3"/>
      <c r="F647" s="3"/>
      <c r="G647" s="3"/>
      <c r="H647" s="3"/>
      <c r="I647" s="3"/>
      <c r="J647" s="3"/>
      <c r="K647" s="3"/>
      <c r="L647" s="3"/>
      <c r="M647" s="3"/>
      <c r="N647" s="3"/>
      <c r="O647" s="3"/>
      <c r="P647" s="3"/>
    </row>
    <row r="648">
      <c r="A648" s="3"/>
      <c r="B648" s="3"/>
      <c r="C648" s="3"/>
      <c r="D648" s="3"/>
      <c r="E648" s="3"/>
      <c r="F648" s="3"/>
      <c r="G648" s="3"/>
      <c r="H648" s="3"/>
      <c r="I648" s="3"/>
      <c r="J648" s="3"/>
      <c r="K648" s="3"/>
      <c r="L648" s="3"/>
      <c r="M648" s="3"/>
      <c r="N648" s="3"/>
      <c r="O648" s="3"/>
      <c r="P648" s="3"/>
    </row>
    <row r="649">
      <c r="A649" s="3"/>
      <c r="B649" s="3"/>
      <c r="C649" s="3"/>
      <c r="D649" s="3"/>
      <c r="E649" s="3"/>
      <c r="F649" s="3"/>
      <c r="G649" s="3"/>
      <c r="H649" s="3"/>
      <c r="I649" s="3"/>
      <c r="J649" s="3"/>
      <c r="K649" s="3"/>
      <c r="L649" s="3"/>
      <c r="M649" s="3"/>
      <c r="N649" s="3"/>
      <c r="O649" s="3"/>
      <c r="P649" s="3"/>
    </row>
    <row r="650">
      <c r="A650" s="3"/>
      <c r="B650" s="3"/>
      <c r="C650" s="3"/>
      <c r="D650" s="3"/>
      <c r="E650" s="3"/>
      <c r="F650" s="3"/>
      <c r="G650" s="3"/>
      <c r="H650" s="3"/>
      <c r="I650" s="3"/>
      <c r="J650" s="3"/>
      <c r="K650" s="3"/>
      <c r="L650" s="3"/>
      <c r="M650" s="3"/>
      <c r="N650" s="3"/>
      <c r="O650" s="3"/>
      <c r="P650" s="3"/>
    </row>
    <row r="651">
      <c r="A651" s="3"/>
      <c r="B651" s="3"/>
      <c r="C651" s="3"/>
      <c r="D651" s="3"/>
      <c r="E651" s="3"/>
      <c r="F651" s="3"/>
      <c r="G651" s="3"/>
      <c r="H651" s="3"/>
      <c r="I651" s="3"/>
      <c r="J651" s="3"/>
      <c r="K651" s="3"/>
      <c r="L651" s="3"/>
      <c r="M651" s="3"/>
      <c r="N651" s="3"/>
      <c r="O651" s="3"/>
      <c r="P651" s="3"/>
    </row>
    <row r="652">
      <c r="A652" s="3"/>
      <c r="B652" s="3"/>
      <c r="C652" s="3"/>
      <c r="D652" s="3"/>
      <c r="E652" s="3"/>
      <c r="F652" s="3"/>
      <c r="G652" s="3"/>
      <c r="H652" s="3"/>
      <c r="I652" s="3"/>
      <c r="J652" s="3"/>
      <c r="K652" s="3"/>
      <c r="L652" s="3"/>
      <c r="M652" s="3"/>
      <c r="N652" s="3"/>
      <c r="O652" s="3"/>
      <c r="P652" s="3"/>
    </row>
    <row r="653">
      <c r="A653" s="3"/>
      <c r="B653" s="3"/>
      <c r="C653" s="3"/>
      <c r="D653" s="3"/>
      <c r="E653" s="3"/>
      <c r="F653" s="3"/>
      <c r="G653" s="3"/>
      <c r="H653" s="3"/>
      <c r="I653" s="3"/>
      <c r="J653" s="3"/>
      <c r="K653" s="3"/>
      <c r="L653" s="3"/>
      <c r="M653" s="3"/>
      <c r="N653" s="3"/>
      <c r="O653" s="3"/>
      <c r="P653" s="3"/>
    </row>
    <row r="654">
      <c r="A654" s="3"/>
      <c r="B654" s="3"/>
      <c r="C654" s="3"/>
      <c r="D654" s="3"/>
      <c r="E654" s="3"/>
      <c r="F654" s="3"/>
      <c r="G654" s="3"/>
      <c r="H654" s="3"/>
      <c r="I654" s="3"/>
      <c r="J654" s="3"/>
      <c r="K654" s="3"/>
      <c r="L654" s="3"/>
      <c r="M654" s="3"/>
      <c r="N654" s="3"/>
      <c r="O654" s="3"/>
      <c r="P654" s="3"/>
    </row>
    <row r="655">
      <c r="A655" s="3"/>
      <c r="B655" s="3"/>
      <c r="C655" s="3"/>
      <c r="D655" s="3"/>
      <c r="E655" s="3"/>
      <c r="F655" s="3"/>
      <c r="G655" s="3"/>
      <c r="H655" s="3"/>
      <c r="I655" s="3"/>
      <c r="J655" s="3"/>
      <c r="K655" s="3"/>
      <c r="L655" s="3"/>
      <c r="M655" s="3"/>
      <c r="N655" s="3"/>
      <c r="O655" s="3"/>
      <c r="P655" s="3"/>
    </row>
    <row r="656">
      <c r="A656" s="3"/>
      <c r="B656" s="3"/>
      <c r="C656" s="3"/>
      <c r="D656" s="3"/>
      <c r="E656" s="3"/>
      <c r="F656" s="3"/>
      <c r="G656" s="3"/>
      <c r="H656" s="3"/>
      <c r="I656" s="3"/>
      <c r="J656" s="3"/>
      <c r="K656" s="3"/>
      <c r="L656" s="3"/>
      <c r="M656" s="3"/>
      <c r="N656" s="3"/>
      <c r="O656" s="3"/>
      <c r="P656" s="3"/>
    </row>
    <row r="657">
      <c r="A657" s="3"/>
      <c r="B657" s="3"/>
      <c r="C657" s="3"/>
      <c r="D657" s="3"/>
      <c r="E657" s="3"/>
      <c r="F657" s="3"/>
      <c r="G657" s="3"/>
      <c r="H657" s="3"/>
      <c r="I657" s="3"/>
      <c r="J657" s="3"/>
      <c r="K657" s="3"/>
      <c r="L657" s="3"/>
      <c r="M657" s="3"/>
      <c r="N657" s="3"/>
      <c r="O657" s="3"/>
      <c r="P657" s="3"/>
    </row>
    <row r="658">
      <c r="A658" s="3"/>
      <c r="B658" s="3"/>
      <c r="C658" s="3"/>
      <c r="D658" s="3"/>
      <c r="E658" s="3"/>
      <c r="F658" s="3"/>
      <c r="G658" s="3"/>
      <c r="H658" s="3"/>
      <c r="I658" s="3"/>
      <c r="J658" s="3"/>
      <c r="K658" s="3"/>
      <c r="L658" s="3"/>
      <c r="M658" s="3"/>
      <c r="N658" s="3"/>
      <c r="O658" s="3"/>
      <c r="P658" s="3"/>
    </row>
    <row r="659">
      <c r="A659" s="3"/>
      <c r="B659" s="3"/>
      <c r="C659" s="3"/>
      <c r="D659" s="3"/>
      <c r="E659" s="3"/>
      <c r="F659" s="3"/>
      <c r="G659" s="3"/>
      <c r="H659" s="3"/>
      <c r="I659" s="3"/>
      <c r="J659" s="3"/>
      <c r="K659" s="3"/>
      <c r="L659" s="3"/>
      <c r="M659" s="3"/>
      <c r="N659" s="3"/>
      <c r="O659" s="3"/>
      <c r="P659" s="3"/>
    </row>
    <row r="660">
      <c r="A660" s="3"/>
      <c r="B660" s="3"/>
      <c r="C660" s="3"/>
      <c r="D660" s="3"/>
      <c r="E660" s="3"/>
      <c r="F660" s="3"/>
      <c r="G660" s="3"/>
      <c r="H660" s="3"/>
      <c r="I660" s="3"/>
      <c r="J660" s="3"/>
      <c r="K660" s="3"/>
      <c r="L660" s="3"/>
      <c r="M660" s="3"/>
      <c r="N660" s="3"/>
      <c r="O660" s="3"/>
      <c r="P660" s="3"/>
    </row>
    <row r="661">
      <c r="A661" s="3"/>
      <c r="B661" s="3"/>
      <c r="C661" s="3"/>
      <c r="D661" s="3"/>
      <c r="E661" s="3"/>
      <c r="F661" s="3"/>
      <c r="G661" s="3"/>
      <c r="H661" s="3"/>
      <c r="I661" s="3"/>
      <c r="J661" s="3"/>
      <c r="K661" s="3"/>
      <c r="L661" s="3"/>
      <c r="M661" s="3"/>
      <c r="N661" s="3"/>
      <c r="O661" s="3"/>
      <c r="P661" s="3"/>
    </row>
    <row r="662">
      <c r="A662" s="3"/>
      <c r="B662" s="3"/>
      <c r="C662" s="3"/>
      <c r="D662" s="3"/>
      <c r="E662" s="3"/>
      <c r="F662" s="3"/>
      <c r="G662" s="3"/>
      <c r="H662" s="3"/>
      <c r="I662" s="3"/>
      <c r="J662" s="3"/>
      <c r="K662" s="3"/>
      <c r="L662" s="3"/>
      <c r="M662" s="3"/>
      <c r="N662" s="3"/>
      <c r="O662" s="3"/>
      <c r="P662" s="3"/>
    </row>
    <row r="663">
      <c r="A663" s="3"/>
      <c r="B663" s="3"/>
      <c r="C663" s="3"/>
      <c r="D663" s="3"/>
      <c r="E663" s="3"/>
      <c r="F663" s="3"/>
      <c r="G663" s="3"/>
      <c r="H663" s="3"/>
      <c r="I663" s="3"/>
      <c r="J663" s="3"/>
      <c r="K663" s="3"/>
      <c r="L663" s="3"/>
      <c r="M663" s="3"/>
      <c r="N663" s="3"/>
      <c r="O663" s="3"/>
      <c r="P663" s="3"/>
    </row>
    <row r="664">
      <c r="A664" s="3"/>
      <c r="B664" s="3"/>
      <c r="C664" s="3"/>
      <c r="D664" s="3"/>
      <c r="E664" s="3"/>
      <c r="F664" s="3"/>
      <c r="G664" s="3"/>
      <c r="H664" s="3"/>
      <c r="I664" s="3"/>
      <c r="J664" s="3"/>
      <c r="K664" s="3"/>
      <c r="L664" s="3"/>
      <c r="M664" s="3"/>
      <c r="N664" s="3"/>
      <c r="O664" s="3"/>
      <c r="P664" s="3"/>
    </row>
    <row r="665">
      <c r="A665" s="3"/>
      <c r="B665" s="3"/>
      <c r="C665" s="3"/>
      <c r="D665" s="3"/>
      <c r="E665" s="3"/>
      <c r="F665" s="3"/>
      <c r="G665" s="3"/>
      <c r="H665" s="3"/>
      <c r="I665" s="3"/>
      <c r="J665" s="3"/>
      <c r="K665" s="3"/>
      <c r="L665" s="3"/>
      <c r="M665" s="3"/>
      <c r="N665" s="3"/>
      <c r="O665" s="3"/>
      <c r="P665" s="3"/>
    </row>
    <row r="666">
      <c r="A666" s="3"/>
      <c r="B666" s="3"/>
      <c r="C666" s="3"/>
      <c r="D666" s="3"/>
      <c r="E666" s="3"/>
      <c r="F666" s="3"/>
      <c r="G666" s="3"/>
      <c r="H666" s="3"/>
      <c r="I666" s="3"/>
      <c r="J666" s="3"/>
      <c r="K666" s="3"/>
      <c r="L666" s="3"/>
      <c r="M666" s="3"/>
      <c r="N666" s="3"/>
      <c r="O666" s="3"/>
      <c r="P666" s="3"/>
    </row>
    <row r="667">
      <c r="A667" s="3"/>
      <c r="B667" s="3"/>
      <c r="C667" s="3"/>
      <c r="D667" s="3"/>
      <c r="E667" s="3"/>
      <c r="F667" s="3"/>
      <c r="G667" s="3"/>
      <c r="H667" s="3"/>
      <c r="I667" s="3"/>
      <c r="J667" s="3"/>
      <c r="K667" s="3"/>
      <c r="L667" s="3"/>
      <c r="M667" s="3"/>
      <c r="N667" s="3"/>
      <c r="O667" s="3"/>
      <c r="P667" s="3"/>
    </row>
    <row r="668">
      <c r="A668" s="3"/>
      <c r="B668" s="3"/>
      <c r="C668" s="3"/>
      <c r="D668" s="3"/>
      <c r="E668" s="3"/>
      <c r="F668" s="3"/>
      <c r="G668" s="3"/>
      <c r="H668" s="3"/>
      <c r="I668" s="3"/>
      <c r="J668" s="3"/>
      <c r="K668" s="3"/>
      <c r="L668" s="3"/>
      <c r="M668" s="3"/>
      <c r="N668" s="3"/>
      <c r="O668" s="3"/>
      <c r="P668" s="3"/>
    </row>
    <row r="669">
      <c r="A669" s="3"/>
      <c r="B669" s="3"/>
      <c r="C669" s="3"/>
      <c r="D669" s="3"/>
      <c r="E669" s="3"/>
      <c r="F669" s="3"/>
      <c r="G669" s="3"/>
      <c r="H669" s="3"/>
      <c r="I669" s="3"/>
      <c r="J669" s="3"/>
      <c r="K669" s="3"/>
      <c r="L669" s="3"/>
      <c r="M669" s="3"/>
      <c r="N669" s="3"/>
      <c r="O669" s="3"/>
      <c r="P669" s="3"/>
    </row>
    <row r="670">
      <c r="A670" s="3"/>
      <c r="B670" s="3"/>
      <c r="C670" s="3"/>
      <c r="D670" s="3"/>
      <c r="E670" s="3"/>
      <c r="F670" s="3"/>
      <c r="G670" s="3"/>
      <c r="H670" s="3"/>
      <c r="I670" s="3"/>
      <c r="J670" s="3"/>
      <c r="K670" s="3"/>
      <c r="L670" s="3"/>
      <c r="M670" s="3"/>
      <c r="N670" s="3"/>
      <c r="O670" s="3"/>
      <c r="P670" s="3"/>
    </row>
    <row r="671">
      <c r="A671" s="3"/>
      <c r="B671" s="3"/>
      <c r="C671" s="3"/>
      <c r="D671" s="3"/>
      <c r="E671" s="3"/>
      <c r="F671" s="3"/>
      <c r="G671" s="3"/>
      <c r="H671" s="3"/>
      <c r="I671" s="3"/>
      <c r="J671" s="3"/>
      <c r="K671" s="3"/>
      <c r="L671" s="3"/>
      <c r="M671" s="3"/>
      <c r="N671" s="3"/>
      <c r="O671" s="3"/>
      <c r="P671" s="3"/>
    </row>
    <row r="672">
      <c r="A672" s="3"/>
      <c r="B672" s="3"/>
      <c r="C672" s="3"/>
      <c r="D672" s="3"/>
      <c r="E672" s="3"/>
      <c r="F672" s="3"/>
      <c r="G672" s="3"/>
      <c r="H672" s="3"/>
      <c r="I672" s="3"/>
      <c r="J672" s="3"/>
      <c r="K672" s="3"/>
      <c r="L672" s="3"/>
      <c r="M672" s="3"/>
      <c r="N672" s="3"/>
      <c r="O672" s="3"/>
      <c r="P672" s="3"/>
    </row>
    <row r="673">
      <c r="A673" s="3"/>
      <c r="B673" s="3"/>
      <c r="C673" s="3"/>
      <c r="D673" s="3"/>
      <c r="E673" s="3"/>
      <c r="F673" s="3"/>
      <c r="G673" s="3"/>
      <c r="H673" s="3"/>
      <c r="I673" s="3"/>
      <c r="J673" s="3"/>
      <c r="K673" s="3"/>
      <c r="L673" s="3"/>
      <c r="M673" s="3"/>
      <c r="N673" s="3"/>
      <c r="O673" s="3"/>
      <c r="P673" s="3"/>
    </row>
    <row r="674">
      <c r="A674" s="3"/>
      <c r="B674" s="3"/>
      <c r="C674" s="3"/>
      <c r="D674" s="3"/>
      <c r="E674" s="3"/>
      <c r="F674" s="3"/>
      <c r="G674" s="3"/>
      <c r="H674" s="3"/>
      <c r="I674" s="3"/>
      <c r="J674" s="3"/>
      <c r="K674" s="3"/>
      <c r="L674" s="3"/>
      <c r="M674" s="3"/>
      <c r="N674" s="3"/>
      <c r="O674" s="3"/>
      <c r="P674" s="3"/>
    </row>
    <row r="675">
      <c r="A675" s="3"/>
      <c r="B675" s="3"/>
      <c r="C675" s="3"/>
      <c r="D675" s="3"/>
      <c r="E675" s="3"/>
      <c r="F675" s="3"/>
      <c r="G675" s="3"/>
      <c r="H675" s="3"/>
      <c r="I675" s="3"/>
      <c r="J675" s="3"/>
      <c r="K675" s="3"/>
      <c r="L675" s="3"/>
      <c r="M675" s="3"/>
      <c r="N675" s="3"/>
      <c r="O675" s="3"/>
      <c r="P675" s="3"/>
    </row>
    <row r="676">
      <c r="A676" s="3"/>
      <c r="B676" s="3"/>
      <c r="C676" s="3"/>
      <c r="D676" s="3"/>
      <c r="E676" s="3"/>
      <c r="F676" s="3"/>
      <c r="G676" s="3"/>
      <c r="H676" s="3"/>
      <c r="I676" s="3"/>
      <c r="J676" s="3"/>
      <c r="K676" s="3"/>
      <c r="L676" s="3"/>
      <c r="M676" s="3"/>
      <c r="N676" s="3"/>
      <c r="O676" s="3"/>
      <c r="P676" s="3"/>
    </row>
    <row r="677">
      <c r="A677" s="3"/>
      <c r="B677" s="3"/>
      <c r="C677" s="3"/>
      <c r="D677" s="3"/>
      <c r="E677" s="3"/>
      <c r="F677" s="3"/>
      <c r="G677" s="3"/>
      <c r="H677" s="3"/>
      <c r="I677" s="3"/>
      <c r="J677" s="3"/>
      <c r="K677" s="3"/>
      <c r="L677" s="3"/>
      <c r="M677" s="3"/>
      <c r="N677" s="3"/>
      <c r="O677" s="3"/>
      <c r="P677" s="3"/>
    </row>
    <row r="678">
      <c r="A678" s="3"/>
      <c r="B678" s="3"/>
      <c r="C678" s="3"/>
      <c r="D678" s="3"/>
      <c r="E678" s="3"/>
      <c r="F678" s="3"/>
      <c r="G678" s="3"/>
      <c r="H678" s="3"/>
      <c r="I678" s="3"/>
      <c r="J678" s="3"/>
      <c r="K678" s="3"/>
      <c r="L678" s="3"/>
      <c r="M678" s="3"/>
      <c r="N678" s="3"/>
      <c r="O678" s="3"/>
      <c r="P678" s="3"/>
    </row>
    <row r="679">
      <c r="A679" s="3"/>
      <c r="B679" s="3"/>
      <c r="C679" s="3"/>
      <c r="D679" s="3"/>
      <c r="E679" s="3"/>
      <c r="F679" s="3"/>
      <c r="G679" s="3"/>
      <c r="H679" s="3"/>
      <c r="I679" s="3"/>
      <c r="J679" s="3"/>
      <c r="K679" s="3"/>
      <c r="L679" s="3"/>
      <c r="M679" s="3"/>
      <c r="N679" s="3"/>
      <c r="O679" s="3"/>
      <c r="P679" s="3"/>
    </row>
    <row r="680">
      <c r="A680" s="3"/>
      <c r="B680" s="3"/>
      <c r="C680" s="3"/>
      <c r="D680" s="3"/>
      <c r="E680" s="3"/>
      <c r="F680" s="3"/>
      <c r="G680" s="3"/>
      <c r="H680" s="3"/>
      <c r="I680" s="3"/>
      <c r="J680" s="3"/>
      <c r="K680" s="3"/>
      <c r="L680" s="3"/>
      <c r="M680" s="3"/>
      <c r="N680" s="3"/>
      <c r="O680" s="3"/>
      <c r="P680" s="3"/>
    </row>
    <row r="681">
      <c r="A681" s="3"/>
      <c r="B681" s="3"/>
      <c r="C681" s="3"/>
      <c r="D681" s="3"/>
      <c r="E681" s="3"/>
      <c r="F681" s="3"/>
      <c r="G681" s="3"/>
      <c r="H681" s="3"/>
      <c r="I681" s="3"/>
      <c r="J681" s="3"/>
      <c r="K681" s="3"/>
      <c r="L681" s="3"/>
      <c r="M681" s="3"/>
      <c r="N681" s="3"/>
      <c r="O681" s="3"/>
      <c r="P681" s="3"/>
    </row>
    <row r="682">
      <c r="A682" s="3"/>
      <c r="B682" s="3"/>
      <c r="C682" s="3"/>
      <c r="D682" s="3"/>
      <c r="E682" s="3"/>
      <c r="F682" s="3"/>
      <c r="G682" s="3"/>
      <c r="H682" s="3"/>
      <c r="I682" s="3"/>
      <c r="J682" s="3"/>
      <c r="K682" s="3"/>
      <c r="L682" s="3"/>
      <c r="M682" s="3"/>
      <c r="N682" s="3"/>
      <c r="O682" s="3"/>
      <c r="P682" s="3"/>
    </row>
    <row r="683">
      <c r="A683" s="3"/>
      <c r="B683" s="3"/>
      <c r="C683" s="3"/>
      <c r="D683" s="3"/>
      <c r="E683" s="3"/>
      <c r="F683" s="3"/>
      <c r="G683" s="3"/>
      <c r="H683" s="3"/>
      <c r="I683" s="3"/>
      <c r="J683" s="3"/>
      <c r="K683" s="3"/>
      <c r="L683" s="3"/>
      <c r="M683" s="3"/>
      <c r="N683" s="3"/>
      <c r="O683" s="3"/>
      <c r="P683" s="3"/>
    </row>
    <row r="684">
      <c r="A684" s="3"/>
      <c r="B684" s="3"/>
      <c r="C684" s="3"/>
      <c r="D684" s="3"/>
      <c r="E684" s="3"/>
      <c r="F684" s="3"/>
      <c r="G684" s="3"/>
      <c r="H684" s="3"/>
      <c r="I684" s="3"/>
      <c r="J684" s="3"/>
      <c r="K684" s="3"/>
      <c r="L684" s="3"/>
      <c r="M684" s="3"/>
      <c r="N684" s="3"/>
      <c r="O684" s="3"/>
      <c r="P684" s="3"/>
    </row>
    <row r="685">
      <c r="A685" s="3"/>
      <c r="B685" s="3"/>
      <c r="C685" s="3"/>
      <c r="D685" s="3"/>
      <c r="E685" s="3"/>
      <c r="F685" s="3"/>
      <c r="G685" s="3"/>
      <c r="H685" s="3"/>
      <c r="I685" s="3"/>
      <c r="J685" s="3"/>
      <c r="K685" s="3"/>
      <c r="L685" s="3"/>
      <c r="M685" s="3"/>
      <c r="N685" s="3"/>
      <c r="O685" s="3"/>
      <c r="P685" s="3"/>
    </row>
    <row r="686">
      <c r="A686" s="3"/>
      <c r="B686" s="3"/>
      <c r="C686" s="3"/>
      <c r="D686" s="3"/>
      <c r="E686" s="3"/>
      <c r="F686" s="3"/>
      <c r="G686" s="3"/>
      <c r="H686" s="3"/>
      <c r="I686" s="3"/>
      <c r="J686" s="3"/>
      <c r="K686" s="3"/>
      <c r="L686" s="3"/>
      <c r="M686" s="3"/>
      <c r="N686" s="3"/>
      <c r="O686" s="3"/>
      <c r="P686" s="3"/>
    </row>
    <row r="687">
      <c r="A687" s="3"/>
      <c r="B687" s="3"/>
      <c r="C687" s="3"/>
      <c r="D687" s="3"/>
      <c r="E687" s="3"/>
      <c r="F687" s="3"/>
      <c r="G687" s="3"/>
      <c r="H687" s="3"/>
      <c r="I687" s="3"/>
      <c r="J687" s="3"/>
      <c r="K687" s="3"/>
      <c r="L687" s="3"/>
      <c r="M687" s="3"/>
      <c r="N687" s="3"/>
      <c r="O687" s="3"/>
      <c r="P687" s="3"/>
    </row>
    <row r="688">
      <c r="A688" s="3"/>
      <c r="B688" s="3"/>
      <c r="C688" s="3"/>
      <c r="D688" s="3"/>
      <c r="E688" s="3"/>
      <c r="F688" s="3"/>
      <c r="G688" s="3"/>
      <c r="H688" s="3"/>
      <c r="I688" s="3"/>
      <c r="J688" s="3"/>
      <c r="K688" s="3"/>
      <c r="L688" s="3"/>
      <c r="M688" s="3"/>
      <c r="N688" s="3"/>
      <c r="O688" s="3"/>
      <c r="P688" s="3"/>
    </row>
    <row r="689">
      <c r="A689" s="3"/>
      <c r="B689" s="3"/>
      <c r="C689" s="3"/>
      <c r="D689" s="3"/>
      <c r="E689" s="3"/>
      <c r="F689" s="3"/>
      <c r="G689" s="3"/>
      <c r="H689" s="3"/>
      <c r="I689" s="3"/>
      <c r="J689" s="3"/>
      <c r="K689" s="3"/>
      <c r="L689" s="3"/>
      <c r="M689" s="3"/>
      <c r="N689" s="3"/>
      <c r="O689" s="3"/>
      <c r="P689" s="3"/>
    </row>
    <row r="690">
      <c r="A690" s="3"/>
      <c r="B690" s="3"/>
      <c r="C690" s="3"/>
      <c r="D690" s="3"/>
      <c r="E690" s="3"/>
      <c r="F690" s="3"/>
      <c r="G690" s="3"/>
      <c r="H690" s="3"/>
      <c r="I690" s="3"/>
      <c r="J690" s="3"/>
      <c r="K690" s="3"/>
      <c r="L690" s="3"/>
      <c r="M690" s="3"/>
      <c r="N690" s="3"/>
      <c r="O690" s="3"/>
      <c r="P690" s="3"/>
    </row>
    <row r="691">
      <c r="A691" s="3"/>
      <c r="B691" s="3"/>
      <c r="C691" s="3"/>
      <c r="D691" s="3"/>
      <c r="E691" s="3"/>
      <c r="F691" s="3"/>
      <c r="G691" s="3"/>
      <c r="H691" s="3"/>
      <c r="I691" s="3"/>
      <c r="J691" s="3"/>
      <c r="K691" s="3"/>
      <c r="L691" s="3"/>
      <c r="M691" s="3"/>
      <c r="N691" s="3"/>
      <c r="O691" s="3"/>
      <c r="P691" s="3"/>
    </row>
    <row r="692">
      <c r="A692" s="3"/>
      <c r="B692" s="3"/>
      <c r="C692" s="3"/>
      <c r="D692" s="3"/>
      <c r="E692" s="3"/>
      <c r="F692" s="3"/>
      <c r="G692" s="3"/>
      <c r="H692" s="3"/>
      <c r="I692" s="3"/>
      <c r="J692" s="3"/>
      <c r="K692" s="3"/>
      <c r="L692" s="3"/>
      <c r="M692" s="3"/>
      <c r="N692" s="3"/>
      <c r="O692" s="3"/>
      <c r="P692" s="3"/>
    </row>
    <row r="693">
      <c r="A693" s="3"/>
      <c r="B693" s="3"/>
      <c r="C693" s="3"/>
      <c r="D693" s="3"/>
      <c r="E693" s="3"/>
      <c r="F693" s="3"/>
      <c r="G693" s="3"/>
      <c r="H693" s="3"/>
      <c r="I693" s="3"/>
      <c r="J693" s="3"/>
      <c r="K693" s="3"/>
      <c r="L693" s="3"/>
      <c r="M693" s="3"/>
      <c r="N693" s="3"/>
      <c r="O693" s="3"/>
      <c r="P693" s="3"/>
    </row>
    <row r="694">
      <c r="A694" s="3"/>
      <c r="B694" s="3"/>
      <c r="C694" s="3"/>
      <c r="D694" s="3"/>
      <c r="E694" s="3"/>
      <c r="F694" s="3"/>
      <c r="G694" s="3"/>
      <c r="H694" s="3"/>
      <c r="I694" s="3"/>
      <c r="J694" s="3"/>
      <c r="K694" s="3"/>
      <c r="L694" s="3"/>
      <c r="M694" s="3"/>
      <c r="N694" s="3"/>
      <c r="O694" s="3"/>
      <c r="P694" s="3"/>
    </row>
    <row r="695">
      <c r="A695" s="3"/>
      <c r="B695" s="3"/>
      <c r="C695" s="3"/>
      <c r="D695" s="3"/>
      <c r="E695" s="3"/>
      <c r="F695" s="3"/>
      <c r="G695" s="3"/>
      <c r="H695" s="3"/>
      <c r="I695" s="3"/>
      <c r="J695" s="3"/>
      <c r="K695" s="3"/>
      <c r="L695" s="3"/>
      <c r="M695" s="3"/>
      <c r="N695" s="3"/>
      <c r="O695" s="3"/>
      <c r="P695" s="3"/>
    </row>
    <row r="696">
      <c r="A696" s="3"/>
      <c r="B696" s="3"/>
      <c r="C696" s="3"/>
      <c r="D696" s="3"/>
      <c r="E696" s="3"/>
      <c r="F696" s="3"/>
      <c r="G696" s="3"/>
      <c r="H696" s="3"/>
      <c r="I696" s="3"/>
      <c r="J696" s="3"/>
      <c r="K696" s="3"/>
      <c r="L696" s="3"/>
      <c r="M696" s="3"/>
      <c r="N696" s="3"/>
      <c r="O696" s="3"/>
      <c r="P696" s="3"/>
    </row>
    <row r="697">
      <c r="A697" s="3"/>
      <c r="B697" s="3"/>
      <c r="C697" s="3"/>
      <c r="D697" s="3"/>
      <c r="E697" s="3"/>
      <c r="F697" s="3"/>
      <c r="G697" s="3"/>
      <c r="H697" s="3"/>
      <c r="I697" s="3"/>
      <c r="J697" s="3"/>
      <c r="K697" s="3"/>
      <c r="L697" s="3"/>
      <c r="M697" s="3"/>
      <c r="N697" s="3"/>
      <c r="O697" s="3"/>
      <c r="P697" s="3"/>
    </row>
    <row r="698">
      <c r="A698" s="3"/>
      <c r="B698" s="3"/>
      <c r="C698" s="3"/>
      <c r="D698" s="3"/>
      <c r="E698" s="3"/>
      <c r="F698" s="3"/>
      <c r="G698" s="3"/>
      <c r="H698" s="3"/>
      <c r="I698" s="3"/>
      <c r="J698" s="3"/>
      <c r="K698" s="3"/>
      <c r="L698" s="3"/>
      <c r="M698" s="3"/>
      <c r="N698" s="3"/>
      <c r="O698" s="3"/>
      <c r="P698" s="3"/>
    </row>
    <row r="699">
      <c r="A699" s="3"/>
      <c r="B699" s="3"/>
      <c r="C699" s="3"/>
      <c r="D699" s="3"/>
      <c r="E699" s="3"/>
      <c r="F699" s="3"/>
      <c r="G699" s="3"/>
      <c r="H699" s="3"/>
      <c r="I699" s="3"/>
      <c r="J699" s="3"/>
      <c r="K699" s="3"/>
      <c r="L699" s="3"/>
      <c r="M699" s="3"/>
      <c r="N699" s="3"/>
      <c r="O699" s="3"/>
      <c r="P699" s="3"/>
    </row>
    <row r="700">
      <c r="A700" s="3"/>
      <c r="B700" s="3"/>
      <c r="C700" s="3"/>
      <c r="D700" s="3"/>
      <c r="E700" s="3"/>
      <c r="F700" s="3"/>
      <c r="G700" s="3"/>
      <c r="H700" s="3"/>
      <c r="I700" s="3"/>
      <c r="J700" s="3"/>
      <c r="K700" s="3"/>
      <c r="L700" s="3"/>
      <c r="M700" s="3"/>
      <c r="N700" s="3"/>
      <c r="O700" s="3"/>
      <c r="P700" s="3"/>
    </row>
    <row r="701">
      <c r="A701" s="3"/>
      <c r="B701" s="3"/>
      <c r="C701" s="3"/>
      <c r="D701" s="3"/>
      <c r="E701" s="3"/>
      <c r="F701" s="3"/>
      <c r="G701" s="3"/>
      <c r="H701" s="3"/>
      <c r="I701" s="3"/>
      <c r="J701" s="3"/>
      <c r="K701" s="3"/>
      <c r="L701" s="3"/>
      <c r="M701" s="3"/>
      <c r="N701" s="3"/>
      <c r="O701" s="3"/>
      <c r="P701" s="3"/>
    </row>
    <row r="702">
      <c r="A702" s="3"/>
      <c r="B702" s="3"/>
      <c r="C702" s="3"/>
      <c r="D702" s="3"/>
      <c r="E702" s="3"/>
      <c r="F702" s="3"/>
      <c r="G702" s="3"/>
      <c r="H702" s="3"/>
      <c r="I702" s="3"/>
      <c r="J702" s="3"/>
      <c r="K702" s="3"/>
      <c r="L702" s="3"/>
      <c r="M702" s="3"/>
      <c r="N702" s="3"/>
      <c r="O702" s="3"/>
      <c r="P702" s="3"/>
    </row>
    <row r="703">
      <c r="A703" s="3"/>
      <c r="B703" s="3"/>
      <c r="C703" s="3"/>
      <c r="D703" s="3"/>
      <c r="E703" s="3"/>
      <c r="F703" s="3"/>
      <c r="G703" s="3"/>
      <c r="H703" s="3"/>
      <c r="I703" s="3"/>
      <c r="J703" s="3"/>
      <c r="K703" s="3"/>
      <c r="L703" s="3"/>
      <c r="M703" s="3"/>
      <c r="N703" s="3"/>
      <c r="O703" s="3"/>
      <c r="P703" s="3"/>
    </row>
    <row r="704">
      <c r="A704" s="3"/>
      <c r="B704" s="3"/>
      <c r="C704" s="3"/>
      <c r="D704" s="3"/>
      <c r="E704" s="3"/>
      <c r="F704" s="3"/>
      <c r="G704" s="3"/>
      <c r="H704" s="3"/>
      <c r="I704" s="3"/>
      <c r="J704" s="3"/>
      <c r="K704" s="3"/>
      <c r="L704" s="3"/>
      <c r="M704" s="3"/>
      <c r="N704" s="3"/>
      <c r="O704" s="3"/>
      <c r="P704" s="3"/>
    </row>
    <row r="705">
      <c r="A705" s="3"/>
      <c r="B705" s="3"/>
      <c r="C705" s="3"/>
      <c r="D705" s="3"/>
      <c r="E705" s="3"/>
      <c r="F705" s="3"/>
      <c r="G705" s="3"/>
      <c r="H705" s="3"/>
      <c r="I705" s="3"/>
      <c r="J705" s="3"/>
      <c r="K705" s="3"/>
      <c r="L705" s="3"/>
      <c r="M705" s="3"/>
      <c r="N705" s="3"/>
      <c r="O705" s="3"/>
      <c r="P705" s="3"/>
    </row>
    <row r="706">
      <c r="A706" s="3"/>
      <c r="B706" s="3"/>
      <c r="C706" s="3"/>
      <c r="D706" s="3"/>
      <c r="E706" s="3"/>
      <c r="F706" s="3"/>
      <c r="G706" s="3"/>
      <c r="H706" s="3"/>
      <c r="I706" s="3"/>
      <c r="J706" s="3"/>
      <c r="K706" s="3"/>
      <c r="L706" s="3"/>
      <c r="M706" s="3"/>
      <c r="N706" s="3"/>
      <c r="O706" s="3"/>
      <c r="P706" s="3"/>
    </row>
    <row r="707">
      <c r="A707" s="3"/>
      <c r="B707" s="3"/>
      <c r="C707" s="3"/>
      <c r="D707" s="3"/>
      <c r="E707" s="3"/>
      <c r="F707" s="3"/>
      <c r="G707" s="3"/>
      <c r="H707" s="3"/>
      <c r="I707" s="3"/>
      <c r="J707" s="3"/>
      <c r="K707" s="3"/>
      <c r="L707" s="3"/>
      <c r="M707" s="3"/>
      <c r="N707" s="3"/>
      <c r="O707" s="3"/>
      <c r="P707" s="3"/>
    </row>
    <row r="708">
      <c r="A708" s="3"/>
      <c r="B708" s="3"/>
      <c r="C708" s="3"/>
      <c r="D708" s="3"/>
      <c r="E708" s="3"/>
      <c r="F708" s="3"/>
      <c r="G708" s="3"/>
      <c r="H708" s="3"/>
      <c r="I708" s="3"/>
      <c r="J708" s="3"/>
      <c r="K708" s="3"/>
      <c r="L708" s="3"/>
      <c r="M708" s="3"/>
      <c r="N708" s="3"/>
      <c r="O708" s="3"/>
      <c r="P708" s="3"/>
    </row>
    <row r="709">
      <c r="A709" s="3"/>
      <c r="B709" s="3"/>
      <c r="C709" s="3"/>
      <c r="D709" s="3"/>
      <c r="E709" s="3"/>
      <c r="F709" s="3"/>
      <c r="G709" s="3"/>
      <c r="H709" s="3"/>
      <c r="I709" s="3"/>
      <c r="J709" s="3"/>
      <c r="K709" s="3"/>
      <c r="L709" s="3"/>
      <c r="M709" s="3"/>
      <c r="N709" s="3"/>
      <c r="O709" s="3"/>
      <c r="P709" s="3"/>
    </row>
    <row r="710">
      <c r="A710" s="3"/>
      <c r="B710" s="3"/>
      <c r="C710" s="3"/>
      <c r="D710" s="3"/>
      <c r="E710" s="3"/>
      <c r="F710" s="3"/>
      <c r="G710" s="3"/>
      <c r="H710" s="3"/>
      <c r="I710" s="3"/>
      <c r="J710" s="3"/>
      <c r="K710" s="3"/>
      <c r="L710" s="3"/>
      <c r="M710" s="3"/>
      <c r="N710" s="3"/>
      <c r="O710" s="3"/>
      <c r="P710" s="3"/>
    </row>
    <row r="711">
      <c r="A711" s="3"/>
      <c r="B711" s="3"/>
      <c r="C711" s="3"/>
      <c r="D711" s="3"/>
      <c r="E711" s="3"/>
      <c r="F711" s="3"/>
      <c r="G711" s="3"/>
      <c r="H711" s="3"/>
      <c r="I711" s="3"/>
      <c r="J711" s="3"/>
      <c r="K711" s="3"/>
      <c r="L711" s="3"/>
      <c r="M711" s="3"/>
      <c r="N711" s="3"/>
      <c r="O711" s="3"/>
      <c r="P711" s="3"/>
    </row>
    <row r="712">
      <c r="A712" s="3"/>
      <c r="B712" s="3"/>
      <c r="C712" s="3"/>
      <c r="D712" s="3"/>
      <c r="E712" s="3"/>
      <c r="F712" s="3"/>
      <c r="G712" s="3"/>
      <c r="H712" s="3"/>
      <c r="I712" s="3"/>
      <c r="J712" s="3"/>
      <c r="K712" s="3"/>
      <c r="L712" s="3"/>
      <c r="M712" s="3"/>
      <c r="N712" s="3"/>
      <c r="O712" s="3"/>
      <c r="P712" s="3"/>
    </row>
    <row r="713">
      <c r="A713" s="3"/>
      <c r="B713" s="3"/>
      <c r="C713" s="3"/>
      <c r="D713" s="3"/>
      <c r="E713" s="3"/>
      <c r="F713" s="3"/>
      <c r="G713" s="3"/>
      <c r="H713" s="3"/>
      <c r="I713" s="3"/>
      <c r="J713" s="3"/>
      <c r="K713" s="3"/>
      <c r="L713" s="3"/>
      <c r="M713" s="3"/>
      <c r="N713" s="3"/>
      <c r="O713" s="3"/>
      <c r="P713" s="3"/>
    </row>
    <row r="714">
      <c r="A714" s="3"/>
      <c r="B714" s="3"/>
      <c r="C714" s="3"/>
      <c r="D714" s="3"/>
      <c r="E714" s="3"/>
      <c r="F714" s="3"/>
      <c r="G714" s="3"/>
      <c r="H714" s="3"/>
      <c r="I714" s="3"/>
      <c r="J714" s="3"/>
      <c r="K714" s="3"/>
      <c r="L714" s="3"/>
      <c r="M714" s="3"/>
      <c r="N714" s="3"/>
      <c r="O714" s="3"/>
      <c r="P714" s="3"/>
    </row>
    <row r="715">
      <c r="A715" s="3"/>
      <c r="B715" s="3"/>
      <c r="C715" s="3"/>
      <c r="D715" s="3"/>
      <c r="E715" s="3"/>
      <c r="F715" s="3"/>
      <c r="G715" s="3"/>
      <c r="H715" s="3"/>
      <c r="I715" s="3"/>
      <c r="J715" s="3"/>
      <c r="K715" s="3"/>
      <c r="L715" s="3"/>
      <c r="M715" s="3"/>
      <c r="N715" s="3"/>
      <c r="O715" s="3"/>
      <c r="P715" s="3"/>
    </row>
    <row r="716">
      <c r="A716" s="3"/>
      <c r="B716" s="3"/>
      <c r="C716" s="3"/>
      <c r="D716" s="3"/>
      <c r="E716" s="3"/>
      <c r="F716" s="3"/>
      <c r="G716" s="3"/>
      <c r="H716" s="3"/>
      <c r="I716" s="3"/>
      <c r="J716" s="3"/>
      <c r="K716" s="3"/>
      <c r="L716" s="3"/>
      <c r="M716" s="3"/>
      <c r="N716" s="3"/>
      <c r="O716" s="3"/>
      <c r="P716" s="3"/>
    </row>
    <row r="717">
      <c r="A717" s="3"/>
      <c r="B717" s="3"/>
      <c r="C717" s="3"/>
      <c r="D717" s="3"/>
      <c r="E717" s="3"/>
      <c r="F717" s="3"/>
      <c r="G717" s="3"/>
      <c r="H717" s="3"/>
      <c r="I717" s="3"/>
      <c r="J717" s="3"/>
      <c r="K717" s="3"/>
      <c r="L717" s="3"/>
      <c r="M717" s="3"/>
      <c r="N717" s="3"/>
      <c r="O717" s="3"/>
      <c r="P717" s="3"/>
    </row>
    <row r="718">
      <c r="A718" s="3"/>
      <c r="B718" s="3"/>
      <c r="C718" s="3"/>
      <c r="D718" s="3"/>
      <c r="E718" s="3"/>
      <c r="F718" s="3"/>
      <c r="G718" s="3"/>
      <c r="H718" s="3"/>
      <c r="I718" s="3"/>
      <c r="J718" s="3"/>
      <c r="K718" s="3"/>
      <c r="L718" s="3"/>
      <c r="M718" s="3"/>
      <c r="N718" s="3"/>
      <c r="O718" s="3"/>
      <c r="P718" s="3"/>
    </row>
    <row r="719">
      <c r="A719" s="3"/>
      <c r="B719" s="3"/>
      <c r="C719" s="3"/>
      <c r="D719" s="3"/>
      <c r="E719" s="3"/>
      <c r="F719" s="3"/>
      <c r="G719" s="3"/>
      <c r="H719" s="3"/>
      <c r="I719" s="3"/>
      <c r="J719" s="3"/>
      <c r="K719" s="3"/>
      <c r="L719" s="3"/>
      <c r="M719" s="3"/>
      <c r="N719" s="3"/>
      <c r="O719" s="3"/>
      <c r="P719" s="3"/>
    </row>
    <row r="720">
      <c r="A720" s="3"/>
      <c r="B720" s="3"/>
      <c r="C720" s="3"/>
      <c r="D720" s="3"/>
      <c r="E720" s="3"/>
      <c r="F720" s="3"/>
      <c r="G720" s="3"/>
      <c r="H720" s="3"/>
      <c r="I720" s="3"/>
      <c r="J720" s="3"/>
      <c r="K720" s="3"/>
      <c r="L720" s="3"/>
      <c r="M720" s="3"/>
      <c r="N720" s="3"/>
      <c r="O720" s="3"/>
      <c r="P720" s="3"/>
    </row>
    <row r="721">
      <c r="A721" s="3"/>
      <c r="B721" s="3"/>
      <c r="C721" s="3"/>
      <c r="D721" s="3"/>
      <c r="E721" s="3"/>
      <c r="F721" s="3"/>
      <c r="G721" s="3"/>
      <c r="H721" s="3"/>
      <c r="I721" s="3"/>
      <c r="J721" s="3"/>
      <c r="K721" s="3"/>
      <c r="L721" s="3"/>
      <c r="M721" s="3"/>
      <c r="N721" s="3"/>
      <c r="O721" s="3"/>
      <c r="P721" s="3"/>
    </row>
    <row r="722">
      <c r="A722" s="3"/>
      <c r="B722" s="3"/>
      <c r="C722" s="3"/>
      <c r="D722" s="3"/>
      <c r="E722" s="3"/>
      <c r="F722" s="3"/>
      <c r="G722" s="3"/>
      <c r="H722" s="3"/>
      <c r="I722" s="3"/>
      <c r="J722" s="3"/>
      <c r="K722" s="3"/>
      <c r="L722" s="3"/>
      <c r="M722" s="3"/>
      <c r="N722" s="3"/>
      <c r="O722" s="3"/>
      <c r="P722" s="3"/>
    </row>
    <row r="723">
      <c r="A723" s="3"/>
      <c r="B723" s="3"/>
      <c r="C723" s="3"/>
      <c r="D723" s="3"/>
      <c r="E723" s="3"/>
      <c r="F723" s="3"/>
      <c r="G723" s="3"/>
      <c r="H723" s="3"/>
      <c r="I723" s="3"/>
      <c r="J723" s="3"/>
      <c r="K723" s="3"/>
      <c r="L723" s="3"/>
      <c r="M723" s="3"/>
      <c r="N723" s="3"/>
      <c r="O723" s="3"/>
      <c r="P723" s="3"/>
    </row>
    <row r="724">
      <c r="A724" s="3"/>
      <c r="B724" s="3"/>
      <c r="C724" s="3"/>
      <c r="D724" s="3"/>
      <c r="E724" s="3"/>
      <c r="F724" s="3"/>
      <c r="G724" s="3"/>
      <c r="H724" s="3"/>
      <c r="I724" s="3"/>
      <c r="J724" s="3"/>
      <c r="K724" s="3"/>
      <c r="L724" s="3"/>
      <c r="M724" s="3"/>
      <c r="N724" s="3"/>
      <c r="O724" s="3"/>
      <c r="P724" s="3"/>
    </row>
    <row r="725">
      <c r="A725" s="3"/>
      <c r="B725" s="3"/>
      <c r="C725" s="3"/>
      <c r="D725" s="3"/>
      <c r="E725" s="3"/>
      <c r="F725" s="3"/>
      <c r="G725" s="3"/>
      <c r="H725" s="3"/>
      <c r="I725" s="3"/>
      <c r="J725" s="3"/>
      <c r="K725" s="3"/>
      <c r="L725" s="3"/>
      <c r="M725" s="3"/>
      <c r="N725" s="3"/>
      <c r="O725" s="3"/>
      <c r="P725" s="3"/>
    </row>
    <row r="726">
      <c r="A726" s="3"/>
      <c r="B726" s="3"/>
      <c r="C726" s="3"/>
      <c r="D726" s="3"/>
      <c r="E726" s="3"/>
      <c r="F726" s="3"/>
      <c r="G726" s="3"/>
      <c r="H726" s="3"/>
      <c r="I726" s="3"/>
      <c r="J726" s="3"/>
      <c r="K726" s="3"/>
      <c r="L726" s="3"/>
      <c r="M726" s="3"/>
      <c r="N726" s="3"/>
      <c r="O726" s="3"/>
      <c r="P726" s="3"/>
    </row>
    <row r="727">
      <c r="A727" s="3"/>
      <c r="B727" s="3"/>
      <c r="C727" s="3"/>
      <c r="D727" s="3"/>
      <c r="E727" s="3"/>
      <c r="F727" s="3"/>
      <c r="G727" s="3"/>
      <c r="H727" s="3"/>
      <c r="I727" s="3"/>
      <c r="J727" s="3"/>
      <c r="K727" s="3"/>
      <c r="L727" s="3"/>
      <c r="M727" s="3"/>
      <c r="N727" s="3"/>
      <c r="O727" s="3"/>
      <c r="P727" s="3"/>
    </row>
    <row r="728">
      <c r="A728" s="3"/>
      <c r="B728" s="3"/>
      <c r="C728" s="3"/>
      <c r="D728" s="3"/>
      <c r="E728" s="3"/>
      <c r="F728" s="3"/>
      <c r="G728" s="3"/>
      <c r="H728" s="3"/>
      <c r="I728" s="3"/>
      <c r="J728" s="3"/>
      <c r="K728" s="3"/>
      <c r="L728" s="3"/>
      <c r="M728" s="3"/>
      <c r="N728" s="3"/>
      <c r="O728" s="3"/>
      <c r="P728" s="3"/>
    </row>
    <row r="729">
      <c r="A729" s="3"/>
      <c r="B729" s="3"/>
      <c r="C729" s="3"/>
      <c r="D729" s="3"/>
      <c r="E729" s="3"/>
      <c r="F729" s="3"/>
      <c r="G729" s="3"/>
      <c r="H729" s="3"/>
      <c r="I729" s="3"/>
      <c r="J729" s="3"/>
      <c r="K729" s="3"/>
      <c r="L729" s="3"/>
      <c r="M729" s="3"/>
      <c r="N729" s="3"/>
      <c r="O729" s="3"/>
      <c r="P729" s="3"/>
    </row>
    <row r="730">
      <c r="A730" s="3"/>
      <c r="B730" s="3"/>
      <c r="C730" s="3"/>
      <c r="D730" s="3"/>
      <c r="E730" s="3"/>
      <c r="F730" s="3"/>
      <c r="G730" s="3"/>
      <c r="H730" s="3"/>
      <c r="I730" s="3"/>
      <c r="J730" s="3"/>
      <c r="K730" s="3"/>
      <c r="L730" s="3"/>
      <c r="M730" s="3"/>
      <c r="N730" s="3"/>
      <c r="O730" s="3"/>
      <c r="P730" s="3"/>
    </row>
    <row r="731">
      <c r="A731" s="3"/>
      <c r="B731" s="3"/>
      <c r="C731" s="3"/>
      <c r="D731" s="3"/>
      <c r="E731" s="3"/>
      <c r="F731" s="3"/>
      <c r="G731" s="3"/>
      <c r="H731" s="3"/>
      <c r="I731" s="3"/>
      <c r="J731" s="3"/>
      <c r="K731" s="3"/>
      <c r="L731" s="3"/>
      <c r="M731" s="3"/>
      <c r="N731" s="3"/>
      <c r="O731" s="3"/>
      <c r="P731" s="3"/>
    </row>
    <row r="732">
      <c r="A732" s="3"/>
      <c r="B732" s="3"/>
      <c r="C732" s="3"/>
      <c r="D732" s="3"/>
      <c r="E732" s="3"/>
      <c r="F732" s="3"/>
      <c r="G732" s="3"/>
      <c r="H732" s="3"/>
      <c r="I732" s="3"/>
      <c r="J732" s="3"/>
      <c r="K732" s="3"/>
      <c r="L732" s="3"/>
      <c r="M732" s="3"/>
      <c r="N732" s="3"/>
      <c r="O732" s="3"/>
      <c r="P732" s="3"/>
    </row>
    <row r="733">
      <c r="A733" s="3"/>
      <c r="B733" s="3"/>
      <c r="C733" s="3"/>
      <c r="D733" s="3"/>
      <c r="E733" s="3"/>
      <c r="F733" s="3"/>
      <c r="G733" s="3"/>
      <c r="H733" s="3"/>
      <c r="I733" s="3"/>
      <c r="J733" s="3"/>
      <c r="K733" s="3"/>
      <c r="L733" s="3"/>
      <c r="M733" s="3"/>
      <c r="N733" s="3"/>
      <c r="O733" s="3"/>
      <c r="P733" s="3"/>
    </row>
    <row r="734">
      <c r="A734" s="3"/>
      <c r="B734" s="3"/>
      <c r="C734" s="3"/>
      <c r="D734" s="3"/>
      <c r="E734" s="3"/>
      <c r="F734" s="3"/>
      <c r="G734" s="3"/>
      <c r="H734" s="3"/>
      <c r="I734" s="3"/>
      <c r="J734" s="3"/>
      <c r="K734" s="3"/>
      <c r="L734" s="3"/>
      <c r="M734" s="3"/>
      <c r="N734" s="3"/>
      <c r="O734" s="3"/>
      <c r="P734" s="3"/>
    </row>
    <row r="735">
      <c r="A735" s="3"/>
      <c r="B735" s="3"/>
      <c r="C735" s="3"/>
      <c r="D735" s="3"/>
      <c r="E735" s="3"/>
      <c r="F735" s="3"/>
      <c r="G735" s="3"/>
      <c r="H735" s="3"/>
      <c r="I735" s="3"/>
      <c r="J735" s="3"/>
      <c r="K735" s="3"/>
      <c r="L735" s="3"/>
      <c r="M735" s="3"/>
      <c r="N735" s="3"/>
      <c r="O735" s="3"/>
      <c r="P735" s="3"/>
    </row>
    <row r="736">
      <c r="A736" s="3"/>
      <c r="B736" s="3"/>
      <c r="C736" s="3"/>
      <c r="D736" s="3"/>
      <c r="E736" s="3"/>
      <c r="F736" s="3"/>
      <c r="G736" s="3"/>
      <c r="H736" s="3"/>
      <c r="I736" s="3"/>
      <c r="J736" s="3"/>
      <c r="K736" s="3"/>
      <c r="L736" s="3"/>
      <c r="M736" s="3"/>
      <c r="N736" s="3"/>
      <c r="O736" s="3"/>
      <c r="P736" s="3"/>
    </row>
    <row r="737">
      <c r="A737" s="3"/>
      <c r="B737" s="3"/>
      <c r="C737" s="3"/>
      <c r="D737" s="3"/>
      <c r="E737" s="3"/>
      <c r="F737" s="3"/>
      <c r="G737" s="3"/>
      <c r="H737" s="3"/>
      <c r="I737" s="3"/>
      <c r="J737" s="3"/>
      <c r="K737" s="3"/>
      <c r="L737" s="3"/>
      <c r="M737" s="3"/>
      <c r="N737" s="3"/>
      <c r="O737" s="3"/>
      <c r="P737" s="3"/>
    </row>
    <row r="738">
      <c r="A738" s="3"/>
      <c r="B738" s="3"/>
      <c r="C738" s="3"/>
      <c r="D738" s="3"/>
      <c r="E738" s="3"/>
      <c r="F738" s="3"/>
      <c r="G738" s="3"/>
      <c r="H738" s="3"/>
      <c r="I738" s="3"/>
      <c r="J738" s="3"/>
      <c r="K738" s="3"/>
      <c r="L738" s="3"/>
      <c r="M738" s="3"/>
      <c r="N738" s="3"/>
      <c r="O738" s="3"/>
      <c r="P738" s="3"/>
    </row>
    <row r="739">
      <c r="A739" s="3"/>
      <c r="B739" s="3"/>
      <c r="C739" s="3"/>
      <c r="D739" s="3"/>
      <c r="E739" s="3"/>
      <c r="F739" s="3"/>
      <c r="G739" s="3"/>
      <c r="H739" s="3"/>
      <c r="I739" s="3"/>
      <c r="J739" s="3"/>
      <c r="K739" s="3"/>
      <c r="L739" s="3"/>
      <c r="M739" s="3"/>
      <c r="N739" s="3"/>
      <c r="O739" s="3"/>
      <c r="P739" s="3"/>
    </row>
    <row r="740">
      <c r="A740" s="3"/>
      <c r="B740" s="3"/>
      <c r="C740" s="3"/>
      <c r="D740" s="3"/>
      <c r="E740" s="3"/>
      <c r="F740" s="3"/>
      <c r="G740" s="3"/>
      <c r="H740" s="3"/>
      <c r="I740" s="3"/>
      <c r="J740" s="3"/>
      <c r="K740" s="3"/>
      <c r="L740" s="3"/>
      <c r="M740" s="3"/>
      <c r="N740" s="3"/>
      <c r="O740" s="3"/>
      <c r="P740" s="3"/>
    </row>
    <row r="741">
      <c r="A741" s="3"/>
      <c r="B741" s="3"/>
      <c r="C741" s="3"/>
      <c r="D741" s="3"/>
      <c r="E741" s="3"/>
      <c r="F741" s="3"/>
      <c r="G741" s="3"/>
      <c r="H741" s="3"/>
      <c r="I741" s="3"/>
      <c r="J741" s="3"/>
      <c r="K741" s="3"/>
      <c r="L741" s="3"/>
      <c r="M741" s="3"/>
      <c r="N741" s="3"/>
      <c r="O741" s="3"/>
      <c r="P741" s="3"/>
    </row>
    <row r="742">
      <c r="A742" s="3"/>
      <c r="B742" s="3"/>
      <c r="C742" s="3"/>
      <c r="D742" s="3"/>
      <c r="E742" s="3"/>
      <c r="F742" s="3"/>
      <c r="G742" s="3"/>
      <c r="H742" s="3"/>
      <c r="I742" s="3"/>
      <c r="J742" s="3"/>
      <c r="K742" s="3"/>
      <c r="L742" s="3"/>
      <c r="M742" s="3"/>
      <c r="N742" s="3"/>
      <c r="O742" s="3"/>
      <c r="P742" s="3"/>
    </row>
    <row r="743">
      <c r="A743" s="3"/>
      <c r="B743" s="3"/>
      <c r="C743" s="3"/>
      <c r="D743" s="3"/>
      <c r="E743" s="3"/>
      <c r="F743" s="3"/>
      <c r="G743" s="3"/>
      <c r="H743" s="3"/>
      <c r="I743" s="3"/>
      <c r="J743" s="3"/>
      <c r="K743" s="3"/>
      <c r="L743" s="3"/>
      <c r="M743" s="3"/>
      <c r="N743" s="3"/>
      <c r="O743" s="3"/>
      <c r="P743" s="3"/>
    </row>
    <row r="744">
      <c r="A744" s="3"/>
      <c r="B744" s="3"/>
      <c r="C744" s="3"/>
      <c r="D744" s="3"/>
      <c r="E744" s="3"/>
      <c r="F744" s="3"/>
      <c r="G744" s="3"/>
      <c r="H744" s="3"/>
      <c r="I744" s="3"/>
      <c r="J744" s="3"/>
      <c r="K744" s="3"/>
      <c r="L744" s="3"/>
      <c r="M744" s="3"/>
      <c r="N744" s="3"/>
      <c r="O744" s="3"/>
      <c r="P744" s="3"/>
    </row>
    <row r="745">
      <c r="A745" s="3"/>
      <c r="B745" s="3"/>
      <c r="C745" s="3"/>
      <c r="D745" s="3"/>
      <c r="E745" s="3"/>
      <c r="F745" s="3"/>
      <c r="G745" s="3"/>
      <c r="H745" s="3"/>
      <c r="I745" s="3"/>
      <c r="J745" s="3"/>
      <c r="K745" s="3"/>
      <c r="L745" s="3"/>
      <c r="M745" s="3"/>
      <c r="N745" s="3"/>
      <c r="O745" s="3"/>
      <c r="P745" s="3"/>
    </row>
    <row r="746">
      <c r="A746" s="3"/>
      <c r="B746" s="3"/>
      <c r="C746" s="3"/>
      <c r="D746" s="3"/>
      <c r="E746" s="3"/>
      <c r="F746" s="3"/>
      <c r="G746" s="3"/>
      <c r="H746" s="3"/>
      <c r="I746" s="3"/>
      <c r="J746" s="3"/>
      <c r="K746" s="3"/>
      <c r="L746" s="3"/>
      <c r="M746" s="3"/>
      <c r="N746" s="3"/>
      <c r="O746" s="3"/>
      <c r="P746" s="3"/>
    </row>
    <row r="747">
      <c r="A747" s="3"/>
      <c r="B747" s="3"/>
      <c r="C747" s="3"/>
      <c r="D747" s="3"/>
      <c r="E747" s="3"/>
      <c r="F747" s="3"/>
      <c r="G747" s="3"/>
      <c r="H747" s="3"/>
      <c r="I747" s="3"/>
      <c r="J747" s="3"/>
      <c r="K747" s="3"/>
      <c r="L747" s="3"/>
      <c r="M747" s="3"/>
      <c r="N747" s="3"/>
      <c r="O747" s="3"/>
      <c r="P747" s="3"/>
    </row>
    <row r="748">
      <c r="A748" s="3"/>
      <c r="B748" s="3"/>
      <c r="C748" s="3"/>
      <c r="D748" s="3"/>
      <c r="E748" s="3"/>
      <c r="F748" s="3"/>
      <c r="G748" s="3"/>
      <c r="H748" s="3"/>
      <c r="I748" s="3"/>
      <c r="J748" s="3"/>
      <c r="K748" s="3"/>
      <c r="L748" s="3"/>
      <c r="M748" s="3"/>
      <c r="N748" s="3"/>
      <c r="O748" s="3"/>
      <c r="P748" s="3"/>
    </row>
    <row r="749">
      <c r="A749" s="3"/>
      <c r="B749" s="3"/>
      <c r="C749" s="3"/>
      <c r="D749" s="3"/>
      <c r="E749" s="3"/>
      <c r="F749" s="3"/>
      <c r="G749" s="3"/>
      <c r="H749" s="3"/>
      <c r="I749" s="3"/>
      <c r="J749" s="3"/>
      <c r="K749" s="3"/>
      <c r="L749" s="3"/>
      <c r="M749" s="3"/>
      <c r="N749" s="3"/>
      <c r="O749" s="3"/>
      <c r="P749" s="3"/>
    </row>
    <row r="750">
      <c r="A750" s="3"/>
      <c r="B750" s="3"/>
      <c r="C750" s="3"/>
      <c r="D750" s="3"/>
      <c r="E750" s="3"/>
      <c r="F750" s="3"/>
      <c r="G750" s="3"/>
      <c r="H750" s="3"/>
      <c r="I750" s="3"/>
      <c r="J750" s="3"/>
      <c r="K750" s="3"/>
      <c r="L750" s="3"/>
      <c r="M750" s="3"/>
      <c r="N750" s="3"/>
      <c r="O750" s="3"/>
      <c r="P750" s="3"/>
    </row>
    <row r="751">
      <c r="A751" s="3"/>
      <c r="B751" s="3"/>
      <c r="C751" s="3"/>
      <c r="D751" s="3"/>
      <c r="E751" s="3"/>
      <c r="F751" s="3"/>
      <c r="G751" s="3"/>
      <c r="H751" s="3"/>
      <c r="I751" s="3"/>
      <c r="J751" s="3"/>
      <c r="K751" s="3"/>
      <c r="L751" s="3"/>
      <c r="M751" s="3"/>
      <c r="N751" s="3"/>
      <c r="O751" s="3"/>
      <c r="P751" s="3"/>
    </row>
    <row r="752">
      <c r="A752" s="3"/>
      <c r="B752" s="3"/>
      <c r="C752" s="3"/>
      <c r="D752" s="3"/>
      <c r="E752" s="3"/>
      <c r="F752" s="3"/>
      <c r="G752" s="3"/>
      <c r="H752" s="3"/>
      <c r="I752" s="3"/>
      <c r="J752" s="3"/>
      <c r="K752" s="3"/>
      <c r="L752" s="3"/>
      <c r="M752" s="3"/>
      <c r="N752" s="3"/>
      <c r="O752" s="3"/>
      <c r="P752" s="3"/>
    </row>
    <row r="753">
      <c r="A753" s="3"/>
      <c r="B753" s="3"/>
      <c r="C753" s="3"/>
      <c r="D753" s="3"/>
      <c r="E753" s="3"/>
      <c r="F753" s="3"/>
      <c r="G753" s="3"/>
      <c r="H753" s="3"/>
      <c r="I753" s="3"/>
      <c r="J753" s="3"/>
      <c r="K753" s="3"/>
      <c r="L753" s="3"/>
      <c r="M753" s="3"/>
      <c r="N753" s="3"/>
      <c r="O753" s="3"/>
      <c r="P753" s="3"/>
    </row>
    <row r="754">
      <c r="A754" s="3"/>
      <c r="B754" s="3"/>
      <c r="C754" s="3"/>
      <c r="D754" s="3"/>
      <c r="E754" s="3"/>
      <c r="F754" s="3"/>
      <c r="G754" s="3"/>
      <c r="H754" s="3"/>
      <c r="I754" s="3"/>
      <c r="J754" s="3"/>
      <c r="K754" s="3"/>
      <c r="L754" s="3"/>
      <c r="M754" s="3"/>
      <c r="N754" s="3"/>
      <c r="O754" s="3"/>
      <c r="P754" s="3"/>
    </row>
    <row r="755">
      <c r="A755" s="3"/>
      <c r="B755" s="3"/>
      <c r="C755" s="3"/>
      <c r="D755" s="3"/>
      <c r="E755" s="3"/>
      <c r="F755" s="3"/>
      <c r="G755" s="3"/>
      <c r="H755" s="3"/>
      <c r="I755" s="3"/>
      <c r="J755" s="3"/>
      <c r="K755" s="3"/>
      <c r="L755" s="3"/>
      <c r="M755" s="3"/>
      <c r="N755" s="3"/>
      <c r="O755" s="3"/>
      <c r="P755" s="3"/>
    </row>
    <row r="756">
      <c r="A756" s="3"/>
      <c r="B756" s="3"/>
      <c r="C756" s="3"/>
      <c r="D756" s="3"/>
      <c r="E756" s="3"/>
      <c r="F756" s="3"/>
      <c r="G756" s="3"/>
      <c r="H756" s="3"/>
      <c r="I756" s="3"/>
      <c r="J756" s="3"/>
      <c r="K756" s="3"/>
      <c r="L756" s="3"/>
      <c r="M756" s="3"/>
      <c r="N756" s="3"/>
      <c r="O756" s="3"/>
      <c r="P756" s="3"/>
    </row>
    <row r="757">
      <c r="A757" s="3"/>
      <c r="B757" s="3"/>
      <c r="C757" s="3"/>
      <c r="D757" s="3"/>
      <c r="E757" s="3"/>
      <c r="F757" s="3"/>
      <c r="G757" s="3"/>
      <c r="H757" s="3"/>
      <c r="I757" s="3"/>
      <c r="J757" s="3"/>
      <c r="K757" s="3"/>
      <c r="L757" s="3"/>
      <c r="M757" s="3"/>
      <c r="N757" s="3"/>
      <c r="O757" s="3"/>
      <c r="P757" s="3"/>
    </row>
    <row r="758">
      <c r="A758" s="3"/>
      <c r="B758" s="3"/>
      <c r="C758" s="3"/>
      <c r="D758" s="3"/>
      <c r="E758" s="3"/>
      <c r="F758" s="3"/>
      <c r="G758" s="3"/>
      <c r="H758" s="3"/>
      <c r="I758" s="3"/>
      <c r="J758" s="3"/>
      <c r="K758" s="3"/>
      <c r="L758" s="3"/>
      <c r="M758" s="3"/>
      <c r="N758" s="3"/>
      <c r="O758" s="3"/>
      <c r="P758" s="3"/>
    </row>
    <row r="759">
      <c r="A759" s="3"/>
      <c r="B759" s="3"/>
      <c r="C759" s="3"/>
      <c r="D759" s="3"/>
      <c r="E759" s="3"/>
      <c r="F759" s="3"/>
      <c r="G759" s="3"/>
      <c r="H759" s="3"/>
      <c r="I759" s="3"/>
      <c r="J759" s="3"/>
      <c r="K759" s="3"/>
      <c r="L759" s="3"/>
      <c r="M759" s="3"/>
      <c r="N759" s="3"/>
      <c r="O759" s="3"/>
      <c r="P759" s="3"/>
    </row>
    <row r="760">
      <c r="A760" s="3"/>
      <c r="B760" s="3"/>
      <c r="C760" s="3"/>
      <c r="D760" s="3"/>
      <c r="E760" s="3"/>
      <c r="F760" s="3"/>
      <c r="G760" s="3"/>
      <c r="H760" s="3"/>
      <c r="I760" s="3"/>
      <c r="J760" s="3"/>
      <c r="K760" s="3"/>
      <c r="L760" s="3"/>
      <c r="M760" s="3"/>
      <c r="N760" s="3"/>
      <c r="O760" s="3"/>
      <c r="P760" s="3"/>
    </row>
    <row r="761">
      <c r="A761" s="3"/>
      <c r="B761" s="3"/>
      <c r="C761" s="3"/>
      <c r="D761" s="3"/>
      <c r="E761" s="3"/>
      <c r="F761" s="3"/>
      <c r="G761" s="3"/>
      <c r="H761" s="3"/>
      <c r="I761" s="3"/>
      <c r="J761" s="3"/>
      <c r="K761" s="3"/>
      <c r="L761" s="3"/>
      <c r="M761" s="3"/>
      <c r="N761" s="3"/>
      <c r="O761" s="3"/>
      <c r="P761" s="3"/>
    </row>
    <row r="762">
      <c r="A762" s="3"/>
      <c r="B762" s="3"/>
      <c r="C762" s="3"/>
      <c r="D762" s="3"/>
      <c r="E762" s="3"/>
      <c r="F762" s="3"/>
      <c r="G762" s="3"/>
      <c r="H762" s="3"/>
      <c r="I762" s="3"/>
      <c r="J762" s="3"/>
      <c r="K762" s="3"/>
      <c r="L762" s="3"/>
      <c r="M762" s="3"/>
      <c r="N762" s="3"/>
      <c r="O762" s="3"/>
      <c r="P762" s="3"/>
    </row>
    <row r="763">
      <c r="A763" s="3"/>
      <c r="B763" s="3"/>
      <c r="C763" s="3"/>
      <c r="D763" s="3"/>
      <c r="E763" s="3"/>
      <c r="F763" s="3"/>
      <c r="G763" s="3"/>
      <c r="H763" s="3"/>
      <c r="I763" s="3"/>
      <c r="J763" s="3"/>
      <c r="K763" s="3"/>
      <c r="L763" s="3"/>
      <c r="M763" s="3"/>
      <c r="N763" s="3"/>
      <c r="O763" s="3"/>
      <c r="P763" s="3"/>
    </row>
    <row r="764">
      <c r="A764" s="3"/>
      <c r="B764" s="3"/>
      <c r="C764" s="3"/>
      <c r="D764" s="3"/>
      <c r="E764" s="3"/>
      <c r="F764" s="3"/>
      <c r="G764" s="3"/>
      <c r="H764" s="3"/>
      <c r="I764" s="3"/>
      <c r="J764" s="3"/>
      <c r="K764" s="3"/>
      <c r="L764" s="3"/>
      <c r="M764" s="3"/>
      <c r="N764" s="3"/>
      <c r="O764" s="3"/>
      <c r="P764" s="3"/>
    </row>
    <row r="765">
      <c r="A765" s="3"/>
      <c r="B765" s="3"/>
      <c r="C765" s="3"/>
      <c r="D765" s="3"/>
      <c r="E765" s="3"/>
      <c r="F765" s="3"/>
      <c r="G765" s="3"/>
      <c r="H765" s="3"/>
      <c r="I765" s="3"/>
      <c r="J765" s="3"/>
      <c r="K765" s="3"/>
      <c r="L765" s="3"/>
      <c r="M765" s="3"/>
      <c r="N765" s="3"/>
      <c r="O765" s="3"/>
      <c r="P765" s="3"/>
    </row>
    <row r="766">
      <c r="A766" s="3"/>
      <c r="B766" s="3"/>
      <c r="C766" s="3"/>
      <c r="D766" s="3"/>
      <c r="E766" s="3"/>
      <c r="F766" s="3"/>
      <c r="G766" s="3"/>
      <c r="H766" s="3"/>
      <c r="I766" s="3"/>
      <c r="J766" s="3"/>
      <c r="K766" s="3"/>
      <c r="L766" s="3"/>
      <c r="M766" s="3"/>
      <c r="N766" s="3"/>
      <c r="O766" s="3"/>
      <c r="P766" s="3"/>
    </row>
    <row r="767">
      <c r="A767" s="3"/>
      <c r="B767" s="3"/>
      <c r="C767" s="3"/>
      <c r="D767" s="3"/>
      <c r="E767" s="3"/>
      <c r="F767" s="3"/>
      <c r="G767" s="3"/>
      <c r="H767" s="3"/>
      <c r="I767" s="3"/>
      <c r="J767" s="3"/>
      <c r="K767" s="3"/>
      <c r="L767" s="3"/>
      <c r="M767" s="3"/>
      <c r="N767" s="3"/>
      <c r="O767" s="3"/>
      <c r="P767" s="3"/>
    </row>
    <row r="768">
      <c r="A768" s="3"/>
      <c r="B768" s="3"/>
      <c r="C768" s="3"/>
      <c r="D768" s="3"/>
      <c r="E768" s="3"/>
      <c r="F768" s="3"/>
      <c r="G768" s="3"/>
      <c r="H768" s="3"/>
      <c r="I768" s="3"/>
      <c r="J768" s="3"/>
      <c r="K768" s="3"/>
      <c r="L768" s="3"/>
      <c r="M768" s="3"/>
      <c r="N768" s="3"/>
      <c r="O768" s="3"/>
      <c r="P768" s="3"/>
    </row>
    <row r="769">
      <c r="A769" s="3"/>
      <c r="B769" s="3"/>
      <c r="C769" s="3"/>
      <c r="D769" s="3"/>
      <c r="E769" s="3"/>
      <c r="F769" s="3"/>
      <c r="G769" s="3"/>
      <c r="H769" s="3"/>
      <c r="I769" s="3"/>
      <c r="J769" s="3"/>
      <c r="K769" s="3"/>
      <c r="L769" s="3"/>
      <c r="M769" s="3"/>
      <c r="N769" s="3"/>
      <c r="O769" s="3"/>
      <c r="P769" s="3"/>
    </row>
    <row r="770">
      <c r="A770" s="3"/>
      <c r="B770" s="3"/>
      <c r="C770" s="3"/>
      <c r="D770" s="3"/>
      <c r="E770" s="3"/>
      <c r="F770" s="3"/>
      <c r="G770" s="3"/>
      <c r="H770" s="3"/>
      <c r="I770" s="3"/>
      <c r="J770" s="3"/>
      <c r="K770" s="3"/>
      <c r="L770" s="3"/>
      <c r="M770" s="3"/>
      <c r="N770" s="3"/>
      <c r="O770" s="3"/>
      <c r="P770" s="3"/>
    </row>
    <row r="771">
      <c r="A771" s="3"/>
      <c r="B771" s="3"/>
      <c r="C771" s="3"/>
      <c r="D771" s="3"/>
      <c r="E771" s="3"/>
      <c r="F771" s="3"/>
      <c r="G771" s="3"/>
      <c r="H771" s="3"/>
      <c r="I771" s="3"/>
      <c r="J771" s="3"/>
      <c r="K771" s="3"/>
      <c r="L771" s="3"/>
      <c r="M771" s="3"/>
      <c r="N771" s="3"/>
      <c r="O771" s="3"/>
      <c r="P771" s="3"/>
    </row>
    <row r="772">
      <c r="A772" s="3"/>
      <c r="B772" s="3"/>
      <c r="C772" s="3"/>
      <c r="D772" s="3"/>
      <c r="E772" s="3"/>
      <c r="F772" s="3"/>
      <c r="G772" s="3"/>
      <c r="H772" s="3"/>
      <c r="I772" s="3"/>
      <c r="J772" s="3"/>
      <c r="K772" s="3"/>
      <c r="L772" s="3"/>
      <c r="M772" s="3"/>
      <c r="N772" s="3"/>
      <c r="O772" s="3"/>
      <c r="P772" s="3"/>
    </row>
    <row r="773">
      <c r="A773" s="3"/>
      <c r="B773" s="3"/>
      <c r="C773" s="3"/>
      <c r="D773" s="3"/>
      <c r="E773" s="3"/>
      <c r="F773" s="3"/>
      <c r="G773" s="3"/>
      <c r="H773" s="3"/>
      <c r="I773" s="3"/>
      <c r="J773" s="3"/>
      <c r="K773" s="3"/>
      <c r="L773" s="3"/>
      <c r="M773" s="3"/>
      <c r="N773" s="3"/>
      <c r="O773" s="3"/>
      <c r="P773" s="3"/>
    </row>
    <row r="774">
      <c r="A774" s="3"/>
      <c r="B774" s="3"/>
      <c r="C774" s="3"/>
      <c r="D774" s="3"/>
      <c r="E774" s="3"/>
      <c r="F774" s="3"/>
      <c r="G774" s="3"/>
      <c r="H774" s="3"/>
      <c r="I774" s="3"/>
      <c r="J774" s="3"/>
      <c r="K774" s="3"/>
      <c r="L774" s="3"/>
      <c r="M774" s="3"/>
      <c r="N774" s="3"/>
      <c r="O774" s="3"/>
      <c r="P774" s="3"/>
    </row>
    <row r="775">
      <c r="A775" s="3"/>
      <c r="B775" s="3"/>
      <c r="C775" s="3"/>
      <c r="D775" s="3"/>
      <c r="E775" s="3"/>
      <c r="F775" s="3"/>
      <c r="G775" s="3"/>
      <c r="H775" s="3"/>
      <c r="I775" s="3"/>
      <c r="J775" s="3"/>
      <c r="K775" s="3"/>
      <c r="L775" s="3"/>
      <c r="M775" s="3"/>
      <c r="N775" s="3"/>
      <c r="O775" s="3"/>
      <c r="P775" s="3"/>
    </row>
    <row r="776">
      <c r="A776" s="3"/>
      <c r="B776" s="3"/>
      <c r="C776" s="3"/>
      <c r="D776" s="3"/>
      <c r="E776" s="3"/>
      <c r="F776" s="3"/>
      <c r="G776" s="3"/>
      <c r="H776" s="3"/>
      <c r="I776" s="3"/>
      <c r="J776" s="3"/>
      <c r="K776" s="3"/>
      <c r="L776" s="3"/>
      <c r="M776" s="3"/>
      <c r="N776" s="3"/>
      <c r="O776" s="3"/>
      <c r="P776" s="3"/>
    </row>
    <row r="777">
      <c r="A777" s="3"/>
      <c r="B777" s="3"/>
      <c r="C777" s="3"/>
      <c r="D777" s="3"/>
      <c r="E777" s="3"/>
      <c r="F777" s="3"/>
      <c r="G777" s="3"/>
      <c r="H777" s="3"/>
      <c r="I777" s="3"/>
      <c r="J777" s="3"/>
      <c r="K777" s="3"/>
      <c r="L777" s="3"/>
      <c r="M777" s="3"/>
      <c r="N777" s="3"/>
      <c r="O777" s="3"/>
      <c r="P777" s="3"/>
    </row>
    <row r="778">
      <c r="A778" s="3"/>
      <c r="B778" s="3"/>
      <c r="C778" s="3"/>
      <c r="D778" s="3"/>
      <c r="E778" s="3"/>
      <c r="F778" s="3"/>
      <c r="G778" s="3"/>
      <c r="H778" s="3"/>
      <c r="I778" s="3"/>
      <c r="J778" s="3"/>
      <c r="K778" s="3"/>
      <c r="L778" s="3"/>
      <c r="M778" s="3"/>
      <c r="N778" s="3"/>
      <c r="O778" s="3"/>
      <c r="P778" s="3"/>
    </row>
    <row r="779">
      <c r="A779" s="3"/>
      <c r="B779" s="3"/>
      <c r="C779" s="3"/>
      <c r="D779" s="3"/>
      <c r="E779" s="3"/>
      <c r="F779" s="3"/>
      <c r="G779" s="3"/>
      <c r="H779" s="3"/>
      <c r="I779" s="3"/>
      <c r="J779" s="3"/>
      <c r="K779" s="3"/>
      <c r="L779" s="3"/>
      <c r="M779" s="3"/>
      <c r="N779" s="3"/>
      <c r="O779" s="3"/>
      <c r="P779" s="3"/>
    </row>
    <row r="780">
      <c r="A780" s="3"/>
      <c r="B780" s="3"/>
      <c r="C780" s="3"/>
      <c r="D780" s="3"/>
      <c r="E780" s="3"/>
      <c r="F780" s="3"/>
      <c r="G780" s="3"/>
      <c r="H780" s="3"/>
      <c r="I780" s="3"/>
      <c r="J780" s="3"/>
      <c r="K780" s="3"/>
      <c r="L780" s="3"/>
      <c r="M780" s="3"/>
      <c r="N780" s="3"/>
      <c r="O780" s="3"/>
      <c r="P780" s="3"/>
    </row>
    <row r="781">
      <c r="A781" s="3"/>
      <c r="B781" s="3"/>
      <c r="C781" s="3"/>
      <c r="D781" s="3"/>
      <c r="E781" s="3"/>
      <c r="F781" s="3"/>
      <c r="G781" s="3"/>
      <c r="H781" s="3"/>
      <c r="I781" s="3"/>
      <c r="J781" s="3"/>
      <c r="K781" s="3"/>
      <c r="L781" s="3"/>
      <c r="M781" s="3"/>
      <c r="N781" s="3"/>
      <c r="O781" s="3"/>
      <c r="P781" s="3"/>
    </row>
    <row r="782">
      <c r="A782" s="3"/>
      <c r="B782" s="3"/>
      <c r="C782" s="3"/>
      <c r="D782" s="3"/>
      <c r="E782" s="3"/>
      <c r="F782" s="3"/>
      <c r="G782" s="3"/>
      <c r="H782" s="3"/>
      <c r="I782" s="3"/>
      <c r="J782" s="3"/>
      <c r="K782" s="3"/>
      <c r="L782" s="3"/>
      <c r="M782" s="3"/>
      <c r="N782" s="3"/>
      <c r="O782" s="3"/>
      <c r="P782" s="3"/>
    </row>
    <row r="783">
      <c r="A783" s="3"/>
      <c r="B783" s="3"/>
      <c r="C783" s="3"/>
      <c r="D783" s="3"/>
      <c r="E783" s="3"/>
      <c r="F783" s="3"/>
      <c r="G783" s="3"/>
      <c r="H783" s="3"/>
      <c r="I783" s="3"/>
      <c r="J783" s="3"/>
      <c r="K783" s="3"/>
      <c r="L783" s="3"/>
      <c r="M783" s="3"/>
      <c r="N783" s="3"/>
      <c r="O783" s="3"/>
      <c r="P783" s="3"/>
    </row>
    <row r="784">
      <c r="A784" s="3"/>
      <c r="B784" s="3"/>
      <c r="C784" s="3"/>
      <c r="D784" s="3"/>
      <c r="E784" s="3"/>
      <c r="F784" s="3"/>
      <c r="G784" s="3"/>
      <c r="H784" s="3"/>
      <c r="I784" s="3"/>
      <c r="J784" s="3"/>
      <c r="K784" s="3"/>
      <c r="L784" s="3"/>
      <c r="M784" s="3"/>
      <c r="N784" s="3"/>
      <c r="O784" s="3"/>
      <c r="P784" s="3"/>
    </row>
    <row r="785">
      <c r="A785" s="3"/>
      <c r="B785" s="3"/>
      <c r="C785" s="3"/>
      <c r="D785" s="3"/>
      <c r="E785" s="3"/>
      <c r="F785" s="3"/>
      <c r="G785" s="3"/>
      <c r="H785" s="3"/>
      <c r="I785" s="3"/>
      <c r="J785" s="3"/>
      <c r="K785" s="3"/>
      <c r="L785" s="3"/>
      <c r="M785" s="3"/>
      <c r="N785" s="3"/>
      <c r="O785" s="3"/>
      <c r="P785" s="3"/>
    </row>
    <row r="786">
      <c r="A786" s="3"/>
      <c r="B786" s="3"/>
      <c r="C786" s="3"/>
      <c r="D786" s="3"/>
      <c r="E786" s="3"/>
      <c r="F786" s="3"/>
      <c r="G786" s="3"/>
      <c r="H786" s="3"/>
      <c r="I786" s="3"/>
      <c r="J786" s="3"/>
      <c r="K786" s="3"/>
      <c r="L786" s="3"/>
      <c r="M786" s="3"/>
      <c r="N786" s="3"/>
      <c r="O786" s="3"/>
      <c r="P786" s="3"/>
    </row>
    <row r="787">
      <c r="A787" s="3"/>
      <c r="B787" s="3"/>
      <c r="C787" s="3"/>
      <c r="D787" s="3"/>
      <c r="E787" s="3"/>
      <c r="F787" s="3"/>
      <c r="G787" s="3"/>
      <c r="H787" s="3"/>
      <c r="I787" s="3"/>
      <c r="J787" s="3"/>
      <c r="K787" s="3"/>
      <c r="L787" s="3"/>
      <c r="M787" s="3"/>
      <c r="N787" s="3"/>
      <c r="O787" s="3"/>
      <c r="P787" s="3"/>
    </row>
    <row r="788">
      <c r="A788" s="3"/>
      <c r="B788" s="3"/>
      <c r="C788" s="3"/>
      <c r="D788" s="3"/>
      <c r="E788" s="3"/>
      <c r="F788" s="3"/>
      <c r="G788" s="3"/>
      <c r="H788" s="3"/>
      <c r="I788" s="3"/>
      <c r="J788" s="3"/>
      <c r="K788" s="3"/>
      <c r="L788" s="3"/>
      <c r="M788" s="3"/>
      <c r="N788" s="3"/>
      <c r="O788" s="3"/>
      <c r="P788" s="3"/>
    </row>
    <row r="789">
      <c r="A789" s="3"/>
      <c r="B789" s="3"/>
      <c r="C789" s="3"/>
      <c r="D789" s="3"/>
      <c r="E789" s="3"/>
      <c r="F789" s="3"/>
      <c r="G789" s="3"/>
      <c r="H789" s="3"/>
      <c r="I789" s="3"/>
      <c r="J789" s="3"/>
      <c r="K789" s="3"/>
      <c r="L789" s="3"/>
      <c r="M789" s="3"/>
      <c r="N789" s="3"/>
      <c r="O789" s="3"/>
      <c r="P789" s="3"/>
    </row>
    <row r="790">
      <c r="A790" s="3"/>
      <c r="B790" s="3"/>
      <c r="C790" s="3"/>
      <c r="D790" s="3"/>
      <c r="E790" s="3"/>
      <c r="F790" s="3"/>
      <c r="G790" s="3"/>
      <c r="H790" s="3"/>
      <c r="I790" s="3"/>
      <c r="J790" s="3"/>
      <c r="K790" s="3"/>
      <c r="L790" s="3"/>
      <c r="M790" s="3"/>
      <c r="N790" s="3"/>
      <c r="O790" s="3"/>
      <c r="P790" s="3"/>
    </row>
    <row r="791">
      <c r="A791" s="3"/>
      <c r="B791" s="3"/>
      <c r="C791" s="3"/>
      <c r="D791" s="3"/>
      <c r="E791" s="3"/>
      <c r="F791" s="3"/>
      <c r="G791" s="3"/>
      <c r="H791" s="3"/>
      <c r="I791" s="3"/>
      <c r="J791" s="3"/>
      <c r="K791" s="3"/>
      <c r="L791" s="3"/>
      <c r="M791" s="3"/>
      <c r="N791" s="3"/>
      <c r="O791" s="3"/>
      <c r="P791" s="3"/>
    </row>
    <row r="792">
      <c r="A792" s="3"/>
      <c r="B792" s="3"/>
      <c r="C792" s="3"/>
      <c r="D792" s="3"/>
      <c r="E792" s="3"/>
      <c r="F792" s="3"/>
      <c r="G792" s="3"/>
      <c r="H792" s="3"/>
      <c r="I792" s="3"/>
      <c r="J792" s="3"/>
      <c r="K792" s="3"/>
      <c r="L792" s="3"/>
      <c r="M792" s="3"/>
      <c r="N792" s="3"/>
      <c r="O792" s="3"/>
      <c r="P792" s="3"/>
    </row>
    <row r="793">
      <c r="A793" s="3"/>
      <c r="B793" s="3"/>
      <c r="C793" s="3"/>
      <c r="D793" s="3"/>
      <c r="E793" s="3"/>
      <c r="F793" s="3"/>
      <c r="G793" s="3"/>
      <c r="H793" s="3"/>
      <c r="I793" s="3"/>
      <c r="J793" s="3"/>
      <c r="K793" s="3"/>
      <c r="L793" s="3"/>
      <c r="M793" s="3"/>
      <c r="N793" s="3"/>
      <c r="O793" s="3"/>
      <c r="P793" s="3"/>
    </row>
    <row r="794">
      <c r="A794" s="3"/>
      <c r="B794" s="3"/>
      <c r="C794" s="3"/>
      <c r="D794" s="3"/>
      <c r="E794" s="3"/>
      <c r="F794" s="3"/>
      <c r="G794" s="3"/>
      <c r="H794" s="3"/>
      <c r="I794" s="3"/>
      <c r="J794" s="3"/>
      <c r="K794" s="3"/>
      <c r="L794" s="3"/>
      <c r="M794" s="3"/>
      <c r="N794" s="3"/>
      <c r="O794" s="3"/>
      <c r="P794" s="3"/>
    </row>
    <row r="795">
      <c r="A795" s="3"/>
      <c r="B795" s="3"/>
      <c r="C795" s="3"/>
      <c r="D795" s="3"/>
      <c r="E795" s="3"/>
      <c r="F795" s="3"/>
      <c r="G795" s="3"/>
      <c r="H795" s="3"/>
      <c r="I795" s="3"/>
      <c r="J795" s="3"/>
      <c r="K795" s="3"/>
      <c r="L795" s="3"/>
      <c r="M795" s="3"/>
      <c r="N795" s="3"/>
      <c r="O795" s="3"/>
      <c r="P795" s="3"/>
    </row>
    <row r="796">
      <c r="A796" s="3"/>
      <c r="B796" s="3"/>
      <c r="C796" s="3"/>
      <c r="D796" s="3"/>
      <c r="E796" s="3"/>
      <c r="F796" s="3"/>
      <c r="G796" s="3"/>
      <c r="H796" s="3"/>
      <c r="I796" s="3"/>
      <c r="J796" s="3"/>
      <c r="K796" s="3"/>
      <c r="L796" s="3"/>
      <c r="M796" s="3"/>
      <c r="N796" s="3"/>
      <c r="O796" s="3"/>
      <c r="P796" s="3"/>
    </row>
    <row r="797">
      <c r="A797" s="3"/>
      <c r="B797" s="3"/>
      <c r="C797" s="3"/>
      <c r="D797" s="3"/>
      <c r="E797" s="3"/>
      <c r="F797" s="3"/>
      <c r="G797" s="3"/>
      <c r="H797" s="3"/>
      <c r="I797" s="3"/>
      <c r="J797" s="3"/>
      <c r="K797" s="3"/>
      <c r="L797" s="3"/>
      <c r="M797" s="3"/>
      <c r="N797" s="3"/>
      <c r="O797" s="3"/>
      <c r="P797" s="3"/>
    </row>
    <row r="798">
      <c r="A798" s="3"/>
      <c r="B798" s="3"/>
      <c r="C798" s="3"/>
      <c r="D798" s="3"/>
      <c r="E798" s="3"/>
      <c r="F798" s="3"/>
      <c r="G798" s="3"/>
      <c r="H798" s="3"/>
      <c r="I798" s="3"/>
      <c r="J798" s="3"/>
      <c r="K798" s="3"/>
      <c r="L798" s="3"/>
      <c r="M798" s="3"/>
      <c r="N798" s="3"/>
      <c r="O798" s="3"/>
      <c r="P798" s="3"/>
    </row>
    <row r="799">
      <c r="A799" s="3"/>
      <c r="B799" s="3"/>
      <c r="C799" s="3"/>
      <c r="D799" s="3"/>
      <c r="E799" s="3"/>
      <c r="F799" s="3"/>
      <c r="G799" s="3"/>
      <c r="H799" s="3"/>
      <c r="I799" s="3"/>
      <c r="J799" s="3"/>
      <c r="K799" s="3"/>
      <c r="L799" s="3"/>
      <c r="M799" s="3"/>
      <c r="N799" s="3"/>
      <c r="O799" s="3"/>
      <c r="P799" s="3"/>
    </row>
    <row r="800">
      <c r="A800" s="3"/>
      <c r="B800" s="3"/>
      <c r="C800" s="3"/>
      <c r="D800" s="3"/>
      <c r="E800" s="3"/>
      <c r="F800" s="3"/>
      <c r="G800" s="3"/>
      <c r="H800" s="3"/>
      <c r="I800" s="3"/>
      <c r="J800" s="3"/>
      <c r="K800" s="3"/>
      <c r="L800" s="3"/>
      <c r="M800" s="3"/>
      <c r="N800" s="3"/>
      <c r="O800" s="3"/>
      <c r="P800" s="3"/>
    </row>
    <row r="801">
      <c r="A801" s="3"/>
      <c r="B801" s="3"/>
      <c r="C801" s="3"/>
      <c r="D801" s="3"/>
      <c r="E801" s="3"/>
      <c r="F801" s="3"/>
      <c r="G801" s="3"/>
      <c r="H801" s="3"/>
      <c r="I801" s="3"/>
      <c r="J801" s="3"/>
      <c r="K801" s="3"/>
      <c r="L801" s="3"/>
      <c r="M801" s="3"/>
      <c r="N801" s="3"/>
      <c r="O801" s="3"/>
      <c r="P801" s="3"/>
    </row>
    <row r="802">
      <c r="A802" s="3"/>
      <c r="B802" s="3"/>
      <c r="C802" s="3"/>
      <c r="D802" s="3"/>
      <c r="E802" s="3"/>
      <c r="F802" s="3"/>
      <c r="G802" s="3"/>
      <c r="H802" s="3"/>
      <c r="I802" s="3"/>
      <c r="J802" s="3"/>
      <c r="K802" s="3"/>
      <c r="L802" s="3"/>
      <c r="M802" s="3"/>
      <c r="N802" s="3"/>
      <c r="O802" s="3"/>
      <c r="P802" s="3"/>
    </row>
    <row r="803">
      <c r="A803" s="3"/>
      <c r="B803" s="3"/>
      <c r="C803" s="3"/>
      <c r="D803" s="3"/>
      <c r="E803" s="3"/>
      <c r="F803" s="3"/>
      <c r="G803" s="3"/>
      <c r="H803" s="3"/>
      <c r="I803" s="3"/>
      <c r="J803" s="3"/>
      <c r="K803" s="3"/>
      <c r="L803" s="3"/>
      <c r="M803" s="3"/>
      <c r="N803" s="3"/>
      <c r="O803" s="3"/>
      <c r="P803" s="3"/>
    </row>
    <row r="804">
      <c r="A804" s="3"/>
      <c r="B804" s="3"/>
      <c r="C804" s="3"/>
      <c r="D804" s="3"/>
      <c r="E804" s="3"/>
      <c r="F804" s="3"/>
      <c r="G804" s="3"/>
      <c r="H804" s="3"/>
      <c r="I804" s="3"/>
      <c r="J804" s="3"/>
      <c r="K804" s="3"/>
      <c r="L804" s="3"/>
      <c r="M804" s="3"/>
      <c r="N804" s="3"/>
      <c r="O804" s="3"/>
      <c r="P804" s="3"/>
    </row>
    <row r="805">
      <c r="A805" s="3"/>
      <c r="B805" s="3"/>
      <c r="C805" s="3"/>
      <c r="D805" s="3"/>
      <c r="E805" s="3"/>
      <c r="F805" s="3"/>
      <c r="G805" s="3"/>
      <c r="H805" s="3"/>
      <c r="I805" s="3"/>
      <c r="J805" s="3"/>
      <c r="K805" s="3"/>
      <c r="L805" s="3"/>
      <c r="M805" s="3"/>
      <c r="N805" s="3"/>
      <c r="O805" s="3"/>
      <c r="P805" s="3"/>
    </row>
    <row r="806">
      <c r="A806" s="3"/>
      <c r="B806" s="3"/>
      <c r="C806" s="3"/>
      <c r="D806" s="3"/>
      <c r="E806" s="3"/>
      <c r="F806" s="3"/>
      <c r="G806" s="3"/>
      <c r="H806" s="3"/>
      <c r="I806" s="3"/>
      <c r="J806" s="3"/>
      <c r="K806" s="3"/>
      <c r="L806" s="3"/>
      <c r="M806" s="3"/>
      <c r="N806" s="3"/>
      <c r="O806" s="3"/>
      <c r="P806" s="3"/>
    </row>
    <row r="807">
      <c r="A807" s="3"/>
      <c r="B807" s="3"/>
      <c r="C807" s="3"/>
      <c r="D807" s="3"/>
      <c r="E807" s="3"/>
      <c r="F807" s="3"/>
      <c r="G807" s="3"/>
      <c r="H807" s="3"/>
      <c r="I807" s="3"/>
      <c r="J807" s="3"/>
      <c r="K807" s="3"/>
      <c r="L807" s="3"/>
      <c r="M807" s="3"/>
      <c r="N807" s="3"/>
      <c r="O807" s="3"/>
      <c r="P807" s="3"/>
    </row>
    <row r="808">
      <c r="A808" s="3"/>
      <c r="B808" s="3"/>
      <c r="C808" s="3"/>
      <c r="D808" s="3"/>
      <c r="E808" s="3"/>
      <c r="F808" s="3"/>
      <c r="G808" s="3"/>
      <c r="H808" s="3"/>
      <c r="I808" s="3"/>
      <c r="J808" s="3"/>
      <c r="K808" s="3"/>
      <c r="L808" s="3"/>
      <c r="M808" s="3"/>
      <c r="N808" s="3"/>
      <c r="O808" s="3"/>
      <c r="P808" s="3"/>
    </row>
    <row r="809">
      <c r="A809" s="3"/>
      <c r="B809" s="3"/>
      <c r="C809" s="3"/>
      <c r="D809" s="3"/>
      <c r="E809" s="3"/>
      <c r="F809" s="3"/>
      <c r="G809" s="3"/>
      <c r="H809" s="3"/>
      <c r="I809" s="3"/>
      <c r="J809" s="3"/>
      <c r="K809" s="3"/>
      <c r="L809" s="3"/>
      <c r="M809" s="3"/>
      <c r="N809" s="3"/>
      <c r="O809" s="3"/>
      <c r="P809" s="3"/>
    </row>
    <row r="810">
      <c r="A810" s="3"/>
      <c r="B810" s="3"/>
      <c r="C810" s="3"/>
      <c r="D810" s="3"/>
      <c r="E810" s="3"/>
      <c r="F810" s="3"/>
      <c r="G810" s="3"/>
      <c r="H810" s="3"/>
      <c r="I810" s="3"/>
      <c r="J810" s="3"/>
      <c r="K810" s="3"/>
      <c r="L810" s="3"/>
      <c r="M810" s="3"/>
      <c r="N810" s="3"/>
      <c r="O810" s="3"/>
      <c r="P810" s="3"/>
    </row>
    <row r="811">
      <c r="A811" s="3"/>
      <c r="B811" s="3"/>
      <c r="C811" s="3"/>
      <c r="D811" s="3"/>
      <c r="E811" s="3"/>
      <c r="F811" s="3"/>
      <c r="G811" s="3"/>
      <c r="H811" s="3"/>
      <c r="I811" s="3"/>
      <c r="J811" s="3"/>
      <c r="K811" s="3"/>
      <c r="L811" s="3"/>
      <c r="M811" s="3"/>
      <c r="N811" s="3"/>
      <c r="O811" s="3"/>
      <c r="P811" s="3"/>
    </row>
    <row r="812">
      <c r="A812" s="3"/>
      <c r="B812" s="3"/>
      <c r="C812" s="3"/>
      <c r="D812" s="3"/>
      <c r="E812" s="3"/>
      <c r="F812" s="3"/>
      <c r="G812" s="3"/>
      <c r="H812" s="3"/>
      <c r="I812" s="3"/>
      <c r="J812" s="3"/>
      <c r="K812" s="3"/>
      <c r="L812" s="3"/>
      <c r="M812" s="3"/>
      <c r="N812" s="3"/>
      <c r="O812" s="3"/>
      <c r="P812" s="3"/>
    </row>
    <row r="813">
      <c r="A813" s="3"/>
      <c r="B813" s="3"/>
      <c r="C813" s="3"/>
      <c r="D813" s="3"/>
      <c r="E813" s="3"/>
      <c r="F813" s="3"/>
      <c r="G813" s="3"/>
      <c r="H813" s="3"/>
      <c r="I813" s="3"/>
      <c r="J813" s="3"/>
      <c r="K813" s="3"/>
      <c r="L813" s="3"/>
      <c r="M813" s="3"/>
      <c r="N813" s="3"/>
      <c r="O813" s="3"/>
      <c r="P813" s="3"/>
    </row>
    <row r="814">
      <c r="A814" s="3"/>
      <c r="B814" s="3"/>
      <c r="C814" s="3"/>
      <c r="D814" s="3"/>
      <c r="E814" s="3"/>
      <c r="F814" s="3"/>
      <c r="G814" s="3"/>
      <c r="H814" s="3"/>
      <c r="I814" s="3"/>
      <c r="J814" s="3"/>
      <c r="K814" s="3"/>
      <c r="L814" s="3"/>
      <c r="M814" s="3"/>
      <c r="N814" s="3"/>
      <c r="O814" s="3"/>
      <c r="P814" s="3"/>
    </row>
    <row r="815">
      <c r="A815" s="3"/>
      <c r="B815" s="3"/>
      <c r="C815" s="3"/>
      <c r="D815" s="3"/>
      <c r="E815" s="3"/>
      <c r="F815" s="3"/>
      <c r="G815" s="3"/>
      <c r="H815" s="3"/>
      <c r="I815" s="3"/>
      <c r="J815" s="3"/>
      <c r="K815" s="3"/>
      <c r="L815" s="3"/>
      <c r="M815" s="3"/>
      <c r="N815" s="3"/>
      <c r="O815" s="3"/>
      <c r="P815" s="3"/>
    </row>
    <row r="816">
      <c r="A816" s="3"/>
      <c r="B816" s="3"/>
      <c r="C816" s="3"/>
      <c r="D816" s="3"/>
      <c r="E816" s="3"/>
      <c r="F816" s="3"/>
      <c r="G816" s="3"/>
      <c r="H816" s="3"/>
      <c r="I816" s="3"/>
      <c r="J816" s="3"/>
      <c r="K816" s="3"/>
      <c r="L816" s="3"/>
      <c r="M816" s="3"/>
      <c r="N816" s="3"/>
      <c r="O816" s="3"/>
      <c r="P816" s="3"/>
    </row>
    <row r="817">
      <c r="A817" s="3"/>
      <c r="B817" s="3"/>
      <c r="C817" s="3"/>
      <c r="D817" s="3"/>
      <c r="E817" s="3"/>
      <c r="F817" s="3"/>
      <c r="G817" s="3"/>
      <c r="H817" s="3"/>
      <c r="I817" s="3"/>
      <c r="J817" s="3"/>
      <c r="K817" s="3"/>
      <c r="L817" s="3"/>
      <c r="M817" s="3"/>
      <c r="N817" s="3"/>
      <c r="O817" s="3"/>
      <c r="P817" s="3"/>
    </row>
    <row r="818">
      <c r="A818" s="3"/>
      <c r="B818" s="3"/>
      <c r="C818" s="3"/>
      <c r="D818" s="3"/>
      <c r="E818" s="3"/>
      <c r="F818" s="3"/>
      <c r="G818" s="3"/>
      <c r="H818" s="3"/>
      <c r="I818" s="3"/>
      <c r="J818" s="3"/>
      <c r="K818" s="3"/>
      <c r="L818" s="3"/>
      <c r="M818" s="3"/>
      <c r="N818" s="3"/>
      <c r="O818" s="3"/>
      <c r="P818" s="3"/>
    </row>
    <row r="819">
      <c r="A819" s="3"/>
      <c r="B819" s="3"/>
      <c r="C819" s="3"/>
      <c r="D819" s="3"/>
      <c r="E819" s="3"/>
      <c r="F819" s="3"/>
      <c r="G819" s="3"/>
      <c r="H819" s="3"/>
      <c r="I819" s="3"/>
      <c r="J819" s="3"/>
      <c r="K819" s="3"/>
      <c r="L819" s="3"/>
      <c r="M819" s="3"/>
      <c r="N819" s="3"/>
      <c r="O819" s="3"/>
      <c r="P819" s="3"/>
    </row>
    <row r="820">
      <c r="A820" s="3"/>
      <c r="B820" s="3"/>
      <c r="C820" s="3"/>
      <c r="D820" s="3"/>
      <c r="E820" s="3"/>
      <c r="F820" s="3"/>
      <c r="G820" s="3"/>
      <c r="H820" s="3"/>
      <c r="I820" s="3"/>
      <c r="J820" s="3"/>
      <c r="K820" s="3"/>
      <c r="L820" s="3"/>
      <c r="M820" s="3"/>
      <c r="N820" s="3"/>
      <c r="O820" s="3"/>
      <c r="P820" s="3"/>
    </row>
    <row r="821">
      <c r="A821" s="3"/>
      <c r="B821" s="3"/>
      <c r="C821" s="3"/>
      <c r="D821" s="3"/>
      <c r="E821" s="3"/>
      <c r="F821" s="3"/>
      <c r="G821" s="3"/>
      <c r="H821" s="3"/>
      <c r="I821" s="3"/>
      <c r="J821" s="3"/>
      <c r="K821" s="3"/>
      <c r="L821" s="3"/>
      <c r="M821" s="3"/>
      <c r="N821" s="3"/>
      <c r="O821" s="3"/>
      <c r="P821" s="3"/>
    </row>
    <row r="822">
      <c r="A822" s="3"/>
      <c r="B822" s="3"/>
      <c r="C822" s="3"/>
      <c r="D822" s="3"/>
      <c r="E822" s="3"/>
      <c r="F822" s="3"/>
      <c r="G822" s="3"/>
      <c r="H822" s="3"/>
      <c r="I822" s="3"/>
      <c r="J822" s="3"/>
      <c r="K822" s="3"/>
      <c r="L822" s="3"/>
      <c r="M822" s="3"/>
      <c r="N822" s="3"/>
      <c r="O822" s="3"/>
      <c r="P822" s="3"/>
    </row>
    <row r="823">
      <c r="A823" s="3"/>
      <c r="B823" s="3"/>
      <c r="C823" s="3"/>
      <c r="D823" s="3"/>
      <c r="E823" s="3"/>
      <c r="F823" s="3"/>
      <c r="G823" s="3"/>
      <c r="H823" s="3"/>
      <c r="I823" s="3"/>
      <c r="J823" s="3"/>
      <c r="K823" s="3"/>
      <c r="L823" s="3"/>
      <c r="M823" s="3"/>
      <c r="N823" s="3"/>
      <c r="O823" s="3"/>
      <c r="P823" s="3"/>
    </row>
    <row r="824">
      <c r="A824" s="3"/>
      <c r="B824" s="3"/>
      <c r="C824" s="3"/>
      <c r="D824" s="3"/>
      <c r="E824" s="3"/>
      <c r="F824" s="3"/>
      <c r="G824" s="3"/>
      <c r="H824" s="3"/>
      <c r="I824" s="3"/>
      <c r="J824" s="3"/>
      <c r="K824" s="3"/>
      <c r="L824" s="3"/>
      <c r="M824" s="3"/>
      <c r="N824" s="3"/>
      <c r="O824" s="3"/>
      <c r="P824" s="3"/>
    </row>
    <row r="825">
      <c r="A825" s="3"/>
      <c r="B825" s="3"/>
      <c r="C825" s="3"/>
      <c r="D825" s="3"/>
      <c r="E825" s="3"/>
      <c r="F825" s="3"/>
      <c r="G825" s="3"/>
      <c r="H825" s="3"/>
      <c r="I825" s="3"/>
      <c r="J825" s="3"/>
      <c r="K825" s="3"/>
      <c r="L825" s="3"/>
      <c r="M825" s="3"/>
      <c r="N825" s="3"/>
      <c r="O825" s="3"/>
      <c r="P825" s="3"/>
    </row>
    <row r="826">
      <c r="A826" s="3"/>
      <c r="B826" s="3"/>
      <c r="C826" s="3"/>
      <c r="D826" s="3"/>
      <c r="E826" s="3"/>
      <c r="F826" s="3"/>
      <c r="G826" s="3"/>
      <c r="H826" s="3"/>
      <c r="I826" s="3"/>
      <c r="J826" s="3"/>
      <c r="K826" s="3"/>
      <c r="L826" s="3"/>
      <c r="M826" s="3"/>
      <c r="N826" s="3"/>
      <c r="O826" s="3"/>
      <c r="P826" s="3"/>
    </row>
    <row r="827">
      <c r="A827" s="3"/>
      <c r="B827" s="3"/>
      <c r="C827" s="3"/>
      <c r="D827" s="3"/>
      <c r="E827" s="3"/>
      <c r="F827" s="3"/>
      <c r="G827" s="3"/>
      <c r="H827" s="3"/>
      <c r="I827" s="3"/>
      <c r="J827" s="3"/>
      <c r="K827" s="3"/>
      <c r="L827" s="3"/>
      <c r="M827" s="3"/>
      <c r="N827" s="3"/>
      <c r="O827" s="3"/>
      <c r="P827" s="3"/>
    </row>
    <row r="828">
      <c r="A828" s="3"/>
      <c r="B828" s="3"/>
      <c r="C828" s="3"/>
      <c r="D828" s="3"/>
      <c r="E828" s="3"/>
      <c r="F828" s="3"/>
      <c r="G828" s="3"/>
      <c r="H828" s="3"/>
      <c r="I828" s="3"/>
      <c r="J828" s="3"/>
      <c r="K828" s="3"/>
      <c r="L828" s="3"/>
      <c r="M828" s="3"/>
      <c r="N828" s="3"/>
      <c r="O828" s="3"/>
      <c r="P828" s="3"/>
    </row>
    <row r="829">
      <c r="A829" s="3"/>
      <c r="B829" s="3"/>
      <c r="C829" s="3"/>
      <c r="D829" s="3"/>
      <c r="E829" s="3"/>
      <c r="F829" s="3"/>
      <c r="G829" s="3"/>
      <c r="H829" s="3"/>
      <c r="I829" s="3"/>
      <c r="J829" s="3"/>
      <c r="K829" s="3"/>
      <c r="L829" s="3"/>
      <c r="M829" s="3"/>
      <c r="N829" s="3"/>
      <c r="O829" s="3"/>
      <c r="P829" s="3"/>
    </row>
    <row r="830">
      <c r="A830" s="3"/>
      <c r="B830" s="3"/>
      <c r="C830" s="3"/>
      <c r="D830" s="3"/>
      <c r="E830" s="3"/>
      <c r="F830" s="3"/>
      <c r="G830" s="3"/>
      <c r="H830" s="3"/>
      <c r="I830" s="3"/>
      <c r="J830" s="3"/>
      <c r="K830" s="3"/>
      <c r="L830" s="3"/>
      <c r="M830" s="3"/>
      <c r="N830" s="3"/>
      <c r="O830" s="3"/>
      <c r="P830" s="3"/>
    </row>
    <row r="831">
      <c r="A831" s="3"/>
      <c r="B831" s="3"/>
      <c r="C831" s="3"/>
      <c r="D831" s="3"/>
      <c r="E831" s="3"/>
      <c r="F831" s="3"/>
      <c r="G831" s="3"/>
      <c r="H831" s="3"/>
      <c r="I831" s="3"/>
      <c r="J831" s="3"/>
      <c r="K831" s="3"/>
      <c r="L831" s="3"/>
      <c r="M831" s="3"/>
      <c r="N831" s="3"/>
      <c r="O831" s="3"/>
      <c r="P831" s="3"/>
    </row>
    <row r="832">
      <c r="A832" s="3"/>
      <c r="B832" s="3"/>
      <c r="C832" s="3"/>
      <c r="D832" s="3"/>
      <c r="E832" s="3"/>
      <c r="F832" s="3"/>
      <c r="G832" s="3"/>
      <c r="H832" s="3"/>
      <c r="I832" s="3"/>
      <c r="J832" s="3"/>
      <c r="K832" s="3"/>
      <c r="L832" s="3"/>
      <c r="M832" s="3"/>
      <c r="N832" s="3"/>
      <c r="O832" s="3"/>
      <c r="P832" s="3"/>
    </row>
    <row r="833">
      <c r="A833" s="3"/>
      <c r="B833" s="3"/>
      <c r="C833" s="3"/>
      <c r="D833" s="3"/>
      <c r="E833" s="3"/>
      <c r="F833" s="3"/>
      <c r="G833" s="3"/>
      <c r="H833" s="3"/>
      <c r="I833" s="3"/>
      <c r="J833" s="3"/>
      <c r="K833" s="3"/>
      <c r="L833" s="3"/>
      <c r="M833" s="3"/>
      <c r="N833" s="3"/>
      <c r="O833" s="3"/>
      <c r="P833" s="3"/>
    </row>
    <row r="834">
      <c r="A834" s="3"/>
      <c r="B834" s="3"/>
      <c r="C834" s="3"/>
      <c r="D834" s="3"/>
      <c r="E834" s="3"/>
      <c r="F834" s="3"/>
      <c r="G834" s="3"/>
      <c r="H834" s="3"/>
      <c r="I834" s="3"/>
      <c r="J834" s="3"/>
      <c r="K834" s="3"/>
      <c r="L834" s="3"/>
      <c r="M834" s="3"/>
      <c r="N834" s="3"/>
      <c r="O834" s="3"/>
      <c r="P834" s="3"/>
    </row>
    <row r="835">
      <c r="A835" s="3"/>
      <c r="B835" s="3"/>
      <c r="C835" s="3"/>
      <c r="D835" s="3"/>
      <c r="E835" s="3"/>
      <c r="F835" s="3"/>
      <c r="G835" s="3"/>
      <c r="H835" s="3"/>
      <c r="I835" s="3"/>
      <c r="J835" s="3"/>
      <c r="K835" s="3"/>
      <c r="L835" s="3"/>
      <c r="M835" s="3"/>
      <c r="N835" s="3"/>
      <c r="O835" s="3"/>
      <c r="P835" s="3"/>
    </row>
    <row r="836">
      <c r="A836" s="3"/>
      <c r="B836" s="3"/>
      <c r="C836" s="3"/>
      <c r="D836" s="3"/>
      <c r="E836" s="3"/>
      <c r="F836" s="3"/>
      <c r="G836" s="3"/>
      <c r="H836" s="3"/>
      <c r="I836" s="3"/>
      <c r="J836" s="3"/>
      <c r="K836" s="3"/>
      <c r="L836" s="3"/>
      <c r="M836" s="3"/>
      <c r="N836" s="3"/>
      <c r="O836" s="3"/>
      <c r="P836" s="3"/>
    </row>
    <row r="837">
      <c r="A837" s="3"/>
      <c r="B837" s="3"/>
      <c r="C837" s="3"/>
      <c r="D837" s="3"/>
      <c r="E837" s="3"/>
      <c r="F837" s="3"/>
      <c r="G837" s="3"/>
      <c r="H837" s="3"/>
      <c r="I837" s="3"/>
      <c r="J837" s="3"/>
      <c r="K837" s="3"/>
      <c r="L837" s="3"/>
      <c r="M837" s="3"/>
      <c r="N837" s="3"/>
      <c r="O837" s="3"/>
      <c r="P837" s="3"/>
    </row>
    <row r="838">
      <c r="A838" s="3"/>
      <c r="B838" s="3"/>
      <c r="C838" s="3"/>
      <c r="D838" s="3"/>
      <c r="E838" s="3"/>
      <c r="F838" s="3"/>
      <c r="G838" s="3"/>
      <c r="H838" s="3"/>
      <c r="I838" s="3"/>
      <c r="J838" s="3"/>
      <c r="K838" s="3"/>
      <c r="L838" s="3"/>
      <c r="M838" s="3"/>
      <c r="N838" s="3"/>
      <c r="O838" s="3"/>
      <c r="P838" s="3"/>
    </row>
    <row r="839">
      <c r="A839" s="3"/>
      <c r="B839" s="3"/>
      <c r="C839" s="3"/>
      <c r="D839" s="3"/>
      <c r="E839" s="3"/>
      <c r="F839" s="3"/>
      <c r="G839" s="3"/>
      <c r="H839" s="3"/>
      <c r="I839" s="3"/>
      <c r="J839" s="3"/>
      <c r="K839" s="3"/>
      <c r="L839" s="3"/>
      <c r="M839" s="3"/>
      <c r="N839" s="3"/>
      <c r="O839" s="3"/>
      <c r="P839" s="3"/>
    </row>
    <row r="840">
      <c r="A840" s="3"/>
      <c r="B840" s="3"/>
      <c r="C840" s="3"/>
      <c r="D840" s="3"/>
      <c r="E840" s="3"/>
      <c r="F840" s="3"/>
      <c r="G840" s="3"/>
      <c r="H840" s="3"/>
      <c r="I840" s="3"/>
      <c r="J840" s="3"/>
      <c r="K840" s="3"/>
      <c r="L840" s="3"/>
      <c r="M840" s="3"/>
      <c r="N840" s="3"/>
      <c r="O840" s="3"/>
      <c r="P840" s="3"/>
    </row>
    <row r="841">
      <c r="A841" s="3"/>
      <c r="B841" s="3"/>
      <c r="C841" s="3"/>
      <c r="D841" s="3"/>
      <c r="E841" s="3"/>
      <c r="F841" s="3"/>
      <c r="G841" s="3"/>
      <c r="H841" s="3"/>
      <c r="I841" s="3"/>
      <c r="J841" s="3"/>
      <c r="K841" s="3"/>
      <c r="L841" s="3"/>
      <c r="M841" s="3"/>
      <c r="N841" s="3"/>
      <c r="O841" s="3"/>
      <c r="P841" s="3"/>
    </row>
    <row r="842">
      <c r="A842" s="3"/>
      <c r="B842" s="3"/>
      <c r="C842" s="3"/>
      <c r="D842" s="3"/>
      <c r="E842" s="3"/>
      <c r="F842" s="3"/>
      <c r="G842" s="3"/>
      <c r="H842" s="3"/>
      <c r="I842" s="3"/>
      <c r="J842" s="3"/>
      <c r="K842" s="3"/>
      <c r="L842" s="3"/>
      <c r="M842" s="3"/>
      <c r="N842" s="3"/>
      <c r="O842" s="3"/>
      <c r="P842" s="3"/>
    </row>
    <row r="843">
      <c r="A843" s="3"/>
      <c r="B843" s="3"/>
      <c r="C843" s="3"/>
      <c r="D843" s="3"/>
      <c r="E843" s="3"/>
      <c r="F843" s="3"/>
      <c r="G843" s="3"/>
      <c r="H843" s="3"/>
      <c r="I843" s="3"/>
      <c r="J843" s="3"/>
      <c r="K843" s="3"/>
      <c r="L843" s="3"/>
      <c r="M843" s="3"/>
      <c r="N843" s="3"/>
      <c r="O843" s="3"/>
      <c r="P843" s="3"/>
    </row>
    <row r="844">
      <c r="A844" s="3"/>
      <c r="B844" s="3"/>
      <c r="C844" s="3"/>
      <c r="D844" s="3"/>
      <c r="E844" s="3"/>
      <c r="F844" s="3"/>
      <c r="G844" s="3"/>
      <c r="H844" s="3"/>
      <c r="I844" s="3"/>
      <c r="J844" s="3"/>
      <c r="K844" s="3"/>
      <c r="L844" s="3"/>
      <c r="M844" s="3"/>
      <c r="N844" s="3"/>
      <c r="O844" s="3"/>
      <c r="P844" s="3"/>
    </row>
    <row r="845">
      <c r="A845" s="3"/>
      <c r="B845" s="3"/>
      <c r="C845" s="3"/>
      <c r="D845" s="3"/>
      <c r="E845" s="3"/>
      <c r="F845" s="3"/>
      <c r="G845" s="3"/>
      <c r="H845" s="3"/>
      <c r="I845" s="3"/>
      <c r="J845" s="3"/>
      <c r="K845" s="3"/>
      <c r="L845" s="3"/>
      <c r="M845" s="3"/>
      <c r="N845" s="3"/>
      <c r="O845" s="3"/>
      <c r="P845" s="3"/>
    </row>
    <row r="846">
      <c r="A846" s="3"/>
      <c r="B846" s="3"/>
      <c r="C846" s="3"/>
      <c r="D846" s="3"/>
      <c r="E846" s="3"/>
      <c r="F846" s="3"/>
      <c r="G846" s="3"/>
      <c r="H846" s="3"/>
      <c r="I846" s="3"/>
      <c r="J846" s="3"/>
      <c r="K846" s="3"/>
      <c r="L846" s="3"/>
      <c r="M846" s="3"/>
      <c r="N846" s="3"/>
      <c r="O846" s="3"/>
      <c r="P846" s="3"/>
    </row>
    <row r="847">
      <c r="A847" s="3"/>
      <c r="B847" s="3"/>
      <c r="C847" s="3"/>
      <c r="D847" s="3"/>
      <c r="E847" s="3"/>
      <c r="F847" s="3"/>
      <c r="G847" s="3"/>
      <c r="H847" s="3"/>
      <c r="I847" s="3"/>
      <c r="J847" s="3"/>
      <c r="K847" s="3"/>
      <c r="L847" s="3"/>
      <c r="M847" s="3"/>
      <c r="N847" s="3"/>
      <c r="O847" s="3"/>
      <c r="P847" s="3"/>
    </row>
    <row r="848">
      <c r="A848" s="3"/>
      <c r="B848" s="3"/>
      <c r="C848" s="3"/>
      <c r="D848" s="3"/>
      <c r="E848" s="3"/>
      <c r="F848" s="3"/>
      <c r="G848" s="3"/>
      <c r="H848" s="3"/>
      <c r="I848" s="3"/>
      <c r="J848" s="3"/>
      <c r="K848" s="3"/>
      <c r="L848" s="3"/>
      <c r="M848" s="3"/>
      <c r="N848" s="3"/>
      <c r="O848" s="3"/>
      <c r="P848" s="3"/>
    </row>
    <row r="849">
      <c r="A849" s="3"/>
      <c r="B849" s="3"/>
      <c r="C849" s="3"/>
      <c r="D849" s="3"/>
      <c r="E849" s="3"/>
      <c r="F849" s="3"/>
      <c r="G849" s="3"/>
      <c r="H849" s="3"/>
      <c r="I849" s="3"/>
      <c r="J849" s="3"/>
      <c r="K849" s="3"/>
      <c r="L849" s="3"/>
      <c r="M849" s="3"/>
      <c r="N849" s="3"/>
      <c r="O849" s="3"/>
      <c r="P849" s="3"/>
    </row>
    <row r="850">
      <c r="A850" s="3"/>
      <c r="B850" s="3"/>
      <c r="C850" s="3"/>
      <c r="D850" s="3"/>
      <c r="E850" s="3"/>
      <c r="F850" s="3"/>
      <c r="G850" s="3"/>
      <c r="H850" s="3"/>
      <c r="I850" s="3"/>
      <c r="J850" s="3"/>
      <c r="K850" s="3"/>
      <c r="L850" s="3"/>
      <c r="M850" s="3"/>
      <c r="N850" s="3"/>
      <c r="O850" s="3"/>
      <c r="P850" s="3"/>
    </row>
    <row r="851">
      <c r="A851" s="3"/>
      <c r="B851" s="3"/>
      <c r="C851" s="3"/>
      <c r="D851" s="3"/>
      <c r="E851" s="3"/>
      <c r="F851" s="3"/>
      <c r="G851" s="3"/>
      <c r="H851" s="3"/>
      <c r="I851" s="3"/>
      <c r="J851" s="3"/>
      <c r="K851" s="3"/>
      <c r="L851" s="3"/>
      <c r="M851" s="3"/>
      <c r="N851" s="3"/>
      <c r="O851" s="3"/>
      <c r="P851" s="3"/>
    </row>
    <row r="852">
      <c r="A852" s="3"/>
      <c r="B852" s="3"/>
      <c r="C852" s="3"/>
      <c r="D852" s="3"/>
      <c r="E852" s="3"/>
      <c r="F852" s="3"/>
      <c r="G852" s="3"/>
      <c r="H852" s="3"/>
      <c r="I852" s="3"/>
      <c r="J852" s="3"/>
      <c r="K852" s="3"/>
      <c r="L852" s="3"/>
      <c r="M852" s="3"/>
      <c r="N852" s="3"/>
      <c r="O852" s="3"/>
      <c r="P852" s="3"/>
    </row>
    <row r="853">
      <c r="A853" s="3"/>
      <c r="B853" s="3"/>
      <c r="C853" s="3"/>
      <c r="D853" s="3"/>
      <c r="E853" s="3"/>
      <c r="F853" s="3"/>
      <c r="G853" s="3"/>
      <c r="H853" s="3"/>
      <c r="I853" s="3"/>
      <c r="J853" s="3"/>
      <c r="K853" s="3"/>
      <c r="L853" s="3"/>
      <c r="M853" s="3"/>
      <c r="N853" s="3"/>
      <c r="O853" s="3"/>
      <c r="P853" s="3"/>
    </row>
    <row r="854">
      <c r="A854" s="3"/>
      <c r="B854" s="3"/>
      <c r="C854" s="3"/>
      <c r="D854" s="3"/>
      <c r="E854" s="3"/>
      <c r="F854" s="3"/>
      <c r="G854" s="3"/>
      <c r="H854" s="3"/>
      <c r="I854" s="3"/>
      <c r="J854" s="3"/>
      <c r="K854" s="3"/>
      <c r="L854" s="3"/>
      <c r="M854" s="3"/>
      <c r="N854" s="3"/>
      <c r="O854" s="3"/>
      <c r="P854" s="3"/>
    </row>
    <row r="855">
      <c r="A855" s="3"/>
      <c r="B855" s="3"/>
      <c r="C855" s="3"/>
      <c r="D855" s="3"/>
      <c r="E855" s="3"/>
      <c r="F855" s="3"/>
      <c r="G855" s="3"/>
      <c r="H855" s="3"/>
      <c r="I855" s="3"/>
      <c r="J855" s="3"/>
      <c r="K855" s="3"/>
      <c r="L855" s="3"/>
      <c r="M855" s="3"/>
      <c r="N855" s="3"/>
      <c r="O855" s="3"/>
      <c r="P855" s="3"/>
    </row>
    <row r="856">
      <c r="A856" s="3"/>
      <c r="B856" s="3"/>
      <c r="C856" s="3"/>
      <c r="D856" s="3"/>
      <c r="E856" s="3"/>
      <c r="F856" s="3"/>
      <c r="G856" s="3"/>
      <c r="H856" s="3"/>
      <c r="I856" s="3"/>
      <c r="J856" s="3"/>
      <c r="K856" s="3"/>
      <c r="L856" s="3"/>
      <c r="M856" s="3"/>
      <c r="N856" s="3"/>
      <c r="O856" s="3"/>
      <c r="P856" s="3"/>
    </row>
    <row r="857">
      <c r="A857" s="3"/>
      <c r="B857" s="3"/>
      <c r="C857" s="3"/>
      <c r="D857" s="3"/>
      <c r="E857" s="3"/>
      <c r="F857" s="3"/>
      <c r="G857" s="3"/>
      <c r="H857" s="3"/>
      <c r="I857" s="3"/>
      <c r="J857" s="3"/>
      <c r="K857" s="3"/>
      <c r="L857" s="3"/>
      <c r="M857" s="3"/>
      <c r="N857" s="3"/>
      <c r="O857" s="3"/>
      <c r="P857" s="3"/>
    </row>
    <row r="858">
      <c r="A858" s="3"/>
      <c r="B858" s="3"/>
      <c r="C858" s="3"/>
      <c r="D858" s="3"/>
      <c r="E858" s="3"/>
      <c r="F858" s="3"/>
      <c r="G858" s="3"/>
      <c r="H858" s="3"/>
      <c r="I858" s="3"/>
      <c r="J858" s="3"/>
      <c r="K858" s="3"/>
      <c r="L858" s="3"/>
      <c r="M858" s="3"/>
      <c r="N858" s="3"/>
      <c r="O858" s="3"/>
      <c r="P858" s="3"/>
    </row>
    <row r="859">
      <c r="A859" s="3"/>
      <c r="B859" s="3"/>
      <c r="C859" s="3"/>
      <c r="D859" s="3"/>
      <c r="E859" s="3"/>
      <c r="F859" s="3"/>
      <c r="G859" s="3"/>
      <c r="H859" s="3"/>
      <c r="I859" s="3"/>
      <c r="J859" s="3"/>
      <c r="K859" s="3"/>
      <c r="L859" s="3"/>
      <c r="M859" s="3"/>
      <c r="N859" s="3"/>
      <c r="O859" s="3"/>
      <c r="P859" s="3"/>
    </row>
    <row r="860">
      <c r="A860" s="3"/>
      <c r="B860" s="3"/>
      <c r="C860" s="3"/>
      <c r="D860" s="3"/>
      <c r="E860" s="3"/>
      <c r="F860" s="3"/>
      <c r="G860" s="3"/>
      <c r="H860" s="3"/>
      <c r="I860" s="3"/>
      <c r="J860" s="3"/>
      <c r="K860" s="3"/>
      <c r="L860" s="3"/>
      <c r="M860" s="3"/>
      <c r="N860" s="3"/>
      <c r="O860" s="3"/>
      <c r="P860" s="3"/>
    </row>
    <row r="861">
      <c r="A861" s="3"/>
      <c r="B861" s="3"/>
      <c r="C861" s="3"/>
      <c r="D861" s="3"/>
      <c r="E861" s="3"/>
      <c r="F861" s="3"/>
      <c r="G861" s="3"/>
      <c r="H861" s="3"/>
      <c r="I861" s="3"/>
      <c r="J861" s="3"/>
      <c r="K861" s="3"/>
      <c r="L861" s="3"/>
      <c r="M861" s="3"/>
      <c r="N861" s="3"/>
      <c r="O861" s="3"/>
      <c r="P861" s="3"/>
    </row>
    <row r="862">
      <c r="A862" s="3"/>
      <c r="B862" s="3"/>
      <c r="C862" s="3"/>
      <c r="D862" s="3"/>
      <c r="E862" s="3"/>
      <c r="F862" s="3"/>
      <c r="G862" s="3"/>
      <c r="H862" s="3"/>
      <c r="I862" s="3"/>
      <c r="J862" s="3"/>
      <c r="K862" s="3"/>
      <c r="L862" s="3"/>
      <c r="M862" s="3"/>
      <c r="N862" s="3"/>
      <c r="O862" s="3"/>
      <c r="P862" s="3"/>
    </row>
    <row r="863">
      <c r="A863" s="3"/>
      <c r="B863" s="3"/>
      <c r="C863" s="3"/>
      <c r="D863" s="3"/>
      <c r="E863" s="3"/>
      <c r="F863" s="3"/>
      <c r="G863" s="3"/>
      <c r="H863" s="3"/>
      <c r="I863" s="3"/>
      <c r="J863" s="3"/>
      <c r="K863" s="3"/>
      <c r="L863" s="3"/>
      <c r="M863" s="3"/>
      <c r="N863" s="3"/>
      <c r="O863" s="3"/>
      <c r="P863" s="3"/>
    </row>
    <row r="864">
      <c r="A864" s="3"/>
      <c r="B864" s="3"/>
      <c r="C864" s="3"/>
      <c r="D864" s="3"/>
      <c r="E864" s="3"/>
      <c r="F864" s="3"/>
      <c r="G864" s="3"/>
      <c r="H864" s="3"/>
      <c r="I864" s="3"/>
      <c r="J864" s="3"/>
      <c r="K864" s="3"/>
      <c r="L864" s="3"/>
      <c r="M864" s="3"/>
      <c r="N864" s="3"/>
      <c r="O864" s="3"/>
      <c r="P864" s="3"/>
    </row>
    <row r="865">
      <c r="A865" s="3"/>
      <c r="B865" s="3"/>
      <c r="C865" s="3"/>
      <c r="D865" s="3"/>
      <c r="E865" s="3"/>
      <c r="F865" s="3"/>
      <c r="G865" s="3"/>
      <c r="H865" s="3"/>
      <c r="I865" s="3"/>
      <c r="J865" s="3"/>
      <c r="K865" s="3"/>
      <c r="L865" s="3"/>
      <c r="M865" s="3"/>
      <c r="N865" s="3"/>
      <c r="O865" s="3"/>
      <c r="P865" s="3"/>
    </row>
    <row r="866">
      <c r="A866" s="3"/>
      <c r="B866" s="3"/>
      <c r="C866" s="3"/>
      <c r="D866" s="3"/>
      <c r="E866" s="3"/>
      <c r="F866" s="3"/>
      <c r="G866" s="3"/>
      <c r="H866" s="3"/>
      <c r="I866" s="3"/>
      <c r="J866" s="3"/>
      <c r="K866" s="3"/>
      <c r="L866" s="3"/>
      <c r="M866" s="3"/>
      <c r="N866" s="3"/>
      <c r="O866" s="3"/>
      <c r="P866" s="3"/>
    </row>
    <row r="867">
      <c r="A867" s="3"/>
      <c r="B867" s="3"/>
      <c r="C867" s="3"/>
      <c r="D867" s="3"/>
      <c r="E867" s="3"/>
      <c r="F867" s="3"/>
      <c r="G867" s="3"/>
      <c r="H867" s="3"/>
      <c r="I867" s="3"/>
      <c r="J867" s="3"/>
      <c r="K867" s="3"/>
      <c r="L867" s="3"/>
      <c r="M867" s="3"/>
      <c r="N867" s="3"/>
      <c r="O867" s="3"/>
      <c r="P867" s="3"/>
    </row>
    <row r="868">
      <c r="A868" s="3"/>
      <c r="B868" s="3"/>
      <c r="C868" s="3"/>
      <c r="D868" s="3"/>
      <c r="E868" s="3"/>
      <c r="F868" s="3"/>
      <c r="G868" s="3"/>
      <c r="H868" s="3"/>
      <c r="I868" s="3"/>
      <c r="J868" s="3"/>
      <c r="K868" s="3"/>
      <c r="L868" s="3"/>
      <c r="M868" s="3"/>
      <c r="N868" s="3"/>
      <c r="O868" s="3"/>
      <c r="P868" s="3"/>
    </row>
    <row r="869">
      <c r="A869" s="3"/>
      <c r="B869" s="3"/>
      <c r="C869" s="3"/>
      <c r="D869" s="3"/>
      <c r="E869" s="3"/>
      <c r="F869" s="3"/>
      <c r="G869" s="3"/>
      <c r="H869" s="3"/>
      <c r="I869" s="3"/>
      <c r="J869" s="3"/>
      <c r="K869" s="3"/>
      <c r="L869" s="3"/>
      <c r="M869" s="3"/>
      <c r="N869" s="3"/>
      <c r="O869" s="3"/>
      <c r="P869" s="3"/>
    </row>
    <row r="870">
      <c r="A870" s="3"/>
      <c r="B870" s="3"/>
      <c r="C870" s="3"/>
      <c r="D870" s="3"/>
      <c r="E870" s="3"/>
      <c r="F870" s="3"/>
      <c r="G870" s="3"/>
      <c r="H870" s="3"/>
      <c r="I870" s="3"/>
      <c r="J870" s="3"/>
      <c r="K870" s="3"/>
      <c r="L870" s="3"/>
      <c r="M870" s="3"/>
      <c r="N870" s="3"/>
      <c r="O870" s="3"/>
      <c r="P870" s="3"/>
    </row>
    <row r="871">
      <c r="A871" s="3"/>
      <c r="B871" s="3"/>
      <c r="C871" s="3"/>
      <c r="D871" s="3"/>
      <c r="E871" s="3"/>
      <c r="F871" s="3"/>
      <c r="G871" s="3"/>
      <c r="H871" s="3"/>
      <c r="I871" s="3"/>
      <c r="J871" s="3"/>
      <c r="K871" s="3"/>
      <c r="L871" s="3"/>
      <c r="M871" s="3"/>
      <c r="N871" s="3"/>
      <c r="O871" s="3"/>
      <c r="P871" s="3"/>
    </row>
    <row r="872">
      <c r="A872" s="3"/>
      <c r="B872" s="3"/>
      <c r="C872" s="3"/>
      <c r="D872" s="3"/>
      <c r="E872" s="3"/>
      <c r="F872" s="3"/>
      <c r="G872" s="3"/>
      <c r="H872" s="3"/>
      <c r="I872" s="3"/>
      <c r="J872" s="3"/>
      <c r="K872" s="3"/>
      <c r="L872" s="3"/>
      <c r="M872" s="3"/>
      <c r="N872" s="3"/>
      <c r="O872" s="3"/>
      <c r="P872" s="3"/>
    </row>
    <row r="873">
      <c r="A873" s="3"/>
      <c r="B873" s="3"/>
      <c r="C873" s="3"/>
      <c r="D873" s="3"/>
      <c r="E873" s="3"/>
      <c r="F873" s="3"/>
      <c r="G873" s="3"/>
      <c r="H873" s="3"/>
      <c r="I873" s="3"/>
      <c r="J873" s="3"/>
      <c r="K873" s="3"/>
      <c r="L873" s="3"/>
      <c r="M873" s="3"/>
      <c r="N873" s="3"/>
      <c r="O873" s="3"/>
      <c r="P873" s="3"/>
    </row>
    <row r="874">
      <c r="A874" s="3"/>
      <c r="B874" s="3"/>
      <c r="C874" s="3"/>
      <c r="D874" s="3"/>
      <c r="E874" s="3"/>
      <c r="F874" s="3"/>
      <c r="G874" s="3"/>
      <c r="H874" s="3"/>
      <c r="I874" s="3"/>
      <c r="J874" s="3"/>
      <c r="K874" s="3"/>
      <c r="L874" s="3"/>
      <c r="M874" s="3"/>
      <c r="N874" s="3"/>
      <c r="O874" s="3"/>
      <c r="P874" s="3"/>
    </row>
    <row r="875">
      <c r="A875" s="3"/>
      <c r="B875" s="3"/>
      <c r="C875" s="3"/>
      <c r="D875" s="3"/>
      <c r="E875" s="3"/>
      <c r="F875" s="3"/>
      <c r="G875" s="3"/>
      <c r="H875" s="3"/>
      <c r="I875" s="3"/>
      <c r="J875" s="3"/>
      <c r="K875" s="3"/>
      <c r="L875" s="3"/>
      <c r="M875" s="3"/>
      <c r="N875" s="3"/>
      <c r="O875" s="3"/>
      <c r="P875" s="3"/>
    </row>
    <row r="876">
      <c r="A876" s="3"/>
      <c r="B876" s="3"/>
      <c r="C876" s="3"/>
      <c r="D876" s="3"/>
      <c r="E876" s="3"/>
      <c r="F876" s="3"/>
      <c r="G876" s="3"/>
      <c r="H876" s="3"/>
      <c r="I876" s="3"/>
      <c r="J876" s="3"/>
      <c r="K876" s="3"/>
      <c r="L876" s="3"/>
      <c r="M876" s="3"/>
      <c r="N876" s="3"/>
      <c r="O876" s="3"/>
      <c r="P876" s="3"/>
    </row>
    <row r="877">
      <c r="A877" s="3"/>
      <c r="B877" s="3"/>
      <c r="C877" s="3"/>
      <c r="D877" s="3"/>
      <c r="E877" s="3"/>
      <c r="F877" s="3"/>
      <c r="G877" s="3"/>
      <c r="H877" s="3"/>
      <c r="I877" s="3"/>
      <c r="J877" s="3"/>
      <c r="K877" s="3"/>
      <c r="L877" s="3"/>
      <c r="M877" s="3"/>
      <c r="N877" s="3"/>
      <c r="O877" s="3"/>
      <c r="P877" s="3"/>
    </row>
    <row r="878">
      <c r="A878" s="3"/>
      <c r="B878" s="3"/>
      <c r="C878" s="3"/>
      <c r="D878" s="3"/>
      <c r="E878" s="3"/>
      <c r="F878" s="3"/>
      <c r="G878" s="3"/>
      <c r="H878" s="3"/>
      <c r="I878" s="3"/>
      <c r="J878" s="3"/>
      <c r="K878" s="3"/>
      <c r="L878" s="3"/>
      <c r="M878" s="3"/>
      <c r="N878" s="3"/>
      <c r="O878" s="3"/>
      <c r="P878" s="3"/>
    </row>
    <row r="879">
      <c r="A879" s="3"/>
      <c r="B879" s="3"/>
      <c r="C879" s="3"/>
      <c r="D879" s="3"/>
      <c r="E879" s="3"/>
      <c r="F879" s="3"/>
      <c r="G879" s="3"/>
      <c r="H879" s="3"/>
      <c r="I879" s="3"/>
      <c r="J879" s="3"/>
      <c r="K879" s="3"/>
      <c r="L879" s="3"/>
      <c r="M879" s="3"/>
      <c r="N879" s="3"/>
      <c r="O879" s="3"/>
      <c r="P879" s="3"/>
    </row>
    <row r="880">
      <c r="A880" s="3"/>
      <c r="B880" s="3"/>
      <c r="C880" s="3"/>
      <c r="D880" s="3"/>
      <c r="E880" s="3"/>
      <c r="F880" s="3"/>
      <c r="G880" s="3"/>
      <c r="H880" s="3"/>
      <c r="I880" s="3"/>
      <c r="J880" s="3"/>
      <c r="K880" s="3"/>
      <c r="L880" s="3"/>
      <c r="M880" s="3"/>
      <c r="N880" s="3"/>
      <c r="O880" s="3"/>
      <c r="P880" s="3"/>
    </row>
    <row r="881">
      <c r="A881" s="3"/>
      <c r="B881" s="3"/>
      <c r="C881" s="3"/>
      <c r="D881" s="3"/>
      <c r="E881" s="3"/>
      <c r="F881" s="3"/>
      <c r="G881" s="3"/>
      <c r="H881" s="3"/>
      <c r="I881" s="3"/>
      <c r="J881" s="3"/>
      <c r="K881" s="3"/>
      <c r="L881" s="3"/>
      <c r="M881" s="3"/>
      <c r="N881" s="3"/>
      <c r="O881" s="3"/>
      <c r="P881" s="3"/>
    </row>
    <row r="882">
      <c r="A882" s="3"/>
      <c r="B882" s="3"/>
      <c r="C882" s="3"/>
      <c r="D882" s="3"/>
      <c r="E882" s="3"/>
      <c r="F882" s="3"/>
      <c r="G882" s="3"/>
      <c r="H882" s="3"/>
      <c r="I882" s="3"/>
      <c r="J882" s="3"/>
      <c r="K882" s="3"/>
      <c r="L882" s="3"/>
      <c r="M882" s="3"/>
      <c r="N882" s="3"/>
      <c r="O882" s="3"/>
      <c r="P882" s="3"/>
    </row>
    <row r="883">
      <c r="A883" s="3"/>
      <c r="B883" s="3"/>
      <c r="C883" s="3"/>
      <c r="D883" s="3"/>
      <c r="E883" s="3"/>
      <c r="F883" s="3"/>
      <c r="G883" s="3"/>
      <c r="H883" s="3"/>
      <c r="I883" s="3"/>
      <c r="J883" s="3"/>
      <c r="K883" s="3"/>
      <c r="L883" s="3"/>
      <c r="M883" s="3"/>
      <c r="N883" s="3"/>
      <c r="O883" s="3"/>
      <c r="P883" s="3"/>
    </row>
    <row r="884">
      <c r="A884" s="3"/>
      <c r="B884" s="3"/>
      <c r="C884" s="3"/>
      <c r="D884" s="3"/>
      <c r="E884" s="3"/>
      <c r="F884" s="3"/>
      <c r="G884" s="3"/>
      <c r="H884" s="3"/>
      <c r="I884" s="3"/>
      <c r="J884" s="3"/>
      <c r="K884" s="3"/>
      <c r="L884" s="3"/>
      <c r="M884" s="3"/>
      <c r="N884" s="3"/>
      <c r="O884" s="3"/>
      <c r="P884" s="3"/>
    </row>
    <row r="885">
      <c r="A885" s="3"/>
      <c r="B885" s="3"/>
      <c r="C885" s="3"/>
      <c r="D885" s="3"/>
      <c r="E885" s="3"/>
      <c r="F885" s="3"/>
      <c r="G885" s="3"/>
      <c r="H885" s="3"/>
      <c r="I885" s="3"/>
      <c r="J885" s="3"/>
      <c r="K885" s="3"/>
      <c r="L885" s="3"/>
      <c r="M885" s="3"/>
      <c r="N885" s="3"/>
      <c r="O885" s="3"/>
      <c r="P885" s="3"/>
    </row>
    <row r="886">
      <c r="A886" s="3"/>
      <c r="B886" s="3"/>
      <c r="C886" s="3"/>
      <c r="D886" s="3"/>
      <c r="E886" s="3"/>
      <c r="F886" s="3"/>
      <c r="G886" s="3"/>
      <c r="H886" s="3"/>
      <c r="I886" s="3"/>
      <c r="J886" s="3"/>
      <c r="K886" s="3"/>
      <c r="L886" s="3"/>
      <c r="M886" s="3"/>
      <c r="N886" s="3"/>
      <c r="O886" s="3"/>
      <c r="P886" s="3"/>
    </row>
    <row r="887">
      <c r="A887" s="3"/>
      <c r="B887" s="3"/>
      <c r="C887" s="3"/>
      <c r="D887" s="3"/>
      <c r="E887" s="3"/>
      <c r="F887" s="3"/>
      <c r="G887" s="3"/>
      <c r="H887" s="3"/>
      <c r="I887" s="3"/>
      <c r="J887" s="3"/>
      <c r="K887" s="3"/>
      <c r="L887" s="3"/>
      <c r="M887" s="3"/>
      <c r="N887" s="3"/>
      <c r="O887" s="3"/>
      <c r="P887" s="3"/>
    </row>
    <row r="888">
      <c r="A888" s="3"/>
      <c r="B888" s="3"/>
      <c r="C888" s="3"/>
      <c r="D888" s="3"/>
      <c r="E888" s="3"/>
      <c r="F888" s="3"/>
      <c r="G888" s="3"/>
      <c r="H888" s="3"/>
      <c r="I888" s="3"/>
      <c r="J888" s="3"/>
      <c r="K888" s="3"/>
      <c r="L888" s="3"/>
      <c r="M888" s="3"/>
      <c r="N888" s="3"/>
      <c r="O888" s="3"/>
      <c r="P888" s="3"/>
    </row>
    <row r="889">
      <c r="A889" s="3"/>
      <c r="B889" s="3"/>
      <c r="C889" s="3"/>
      <c r="D889" s="3"/>
      <c r="E889" s="3"/>
      <c r="F889" s="3"/>
      <c r="G889" s="3"/>
      <c r="H889" s="3"/>
      <c r="I889" s="3"/>
      <c r="J889" s="3"/>
      <c r="K889" s="3"/>
      <c r="L889" s="3"/>
      <c r="M889" s="3"/>
      <c r="N889" s="3"/>
      <c r="O889" s="3"/>
      <c r="P889" s="3"/>
    </row>
    <row r="890">
      <c r="A890" s="3"/>
      <c r="B890" s="3"/>
      <c r="C890" s="3"/>
      <c r="D890" s="3"/>
      <c r="E890" s="3"/>
      <c r="F890" s="3"/>
      <c r="G890" s="3"/>
      <c r="H890" s="3"/>
      <c r="I890" s="3"/>
      <c r="J890" s="3"/>
      <c r="K890" s="3"/>
      <c r="L890" s="3"/>
      <c r="M890" s="3"/>
      <c r="N890" s="3"/>
      <c r="O890" s="3"/>
      <c r="P890" s="3"/>
    </row>
    <row r="891">
      <c r="A891" s="3"/>
      <c r="B891" s="3"/>
      <c r="C891" s="3"/>
      <c r="D891" s="3"/>
      <c r="E891" s="3"/>
      <c r="F891" s="3"/>
      <c r="G891" s="3"/>
      <c r="H891" s="3"/>
      <c r="I891" s="3"/>
      <c r="J891" s="3"/>
      <c r="K891" s="3"/>
      <c r="L891" s="3"/>
      <c r="M891" s="3"/>
      <c r="N891" s="3"/>
      <c r="O891" s="3"/>
      <c r="P891" s="3"/>
    </row>
    <row r="892">
      <c r="A892" s="3"/>
      <c r="B892" s="3"/>
      <c r="C892" s="3"/>
      <c r="D892" s="3"/>
      <c r="E892" s="3"/>
      <c r="F892" s="3"/>
      <c r="G892" s="3"/>
      <c r="H892" s="3"/>
      <c r="I892" s="3"/>
      <c r="J892" s="3"/>
      <c r="K892" s="3"/>
      <c r="L892" s="3"/>
      <c r="M892" s="3"/>
      <c r="N892" s="3"/>
      <c r="O892" s="3"/>
      <c r="P892" s="3"/>
    </row>
    <row r="893">
      <c r="A893" s="3"/>
      <c r="B893" s="3"/>
      <c r="C893" s="3"/>
      <c r="D893" s="3"/>
      <c r="E893" s="3"/>
      <c r="F893" s="3"/>
      <c r="G893" s="3"/>
      <c r="H893" s="3"/>
      <c r="I893" s="3"/>
      <c r="J893" s="3"/>
      <c r="K893" s="3"/>
      <c r="L893" s="3"/>
      <c r="M893" s="3"/>
      <c r="N893" s="3"/>
      <c r="O893" s="3"/>
      <c r="P893" s="3"/>
    </row>
    <row r="894">
      <c r="A894" s="3"/>
      <c r="B894" s="3"/>
      <c r="C894" s="3"/>
      <c r="D894" s="3"/>
      <c r="E894" s="3"/>
      <c r="F894" s="3"/>
      <c r="G894" s="3"/>
      <c r="H894" s="3"/>
      <c r="I894" s="3"/>
      <c r="J894" s="3"/>
      <c r="K894" s="3"/>
      <c r="L894" s="3"/>
      <c r="M894" s="3"/>
      <c r="N894" s="3"/>
      <c r="O894" s="3"/>
      <c r="P894" s="3"/>
    </row>
    <row r="895">
      <c r="A895" s="3"/>
      <c r="B895" s="3"/>
      <c r="C895" s="3"/>
      <c r="D895" s="3"/>
      <c r="E895" s="3"/>
      <c r="F895" s="3"/>
      <c r="G895" s="3"/>
      <c r="H895" s="3"/>
      <c r="I895" s="3"/>
      <c r="J895" s="3"/>
      <c r="K895" s="3"/>
      <c r="L895" s="3"/>
      <c r="M895" s="3"/>
      <c r="N895" s="3"/>
      <c r="O895" s="3"/>
      <c r="P895" s="3"/>
    </row>
    <row r="896">
      <c r="A896" s="3"/>
      <c r="B896" s="3"/>
      <c r="C896" s="3"/>
      <c r="D896" s="3"/>
      <c r="E896" s="3"/>
      <c r="F896" s="3"/>
      <c r="G896" s="3"/>
      <c r="H896" s="3"/>
      <c r="I896" s="3"/>
      <c r="J896" s="3"/>
      <c r="K896" s="3"/>
      <c r="L896" s="3"/>
      <c r="M896" s="3"/>
      <c r="N896" s="3"/>
      <c r="O896" s="3"/>
      <c r="P896" s="3"/>
    </row>
    <row r="897">
      <c r="A897" s="3"/>
      <c r="B897" s="3"/>
      <c r="C897" s="3"/>
      <c r="D897" s="3"/>
      <c r="E897" s="3"/>
      <c r="F897" s="3"/>
      <c r="G897" s="3"/>
      <c r="H897" s="3"/>
      <c r="I897" s="3"/>
      <c r="J897" s="3"/>
      <c r="K897" s="3"/>
      <c r="L897" s="3"/>
      <c r="M897" s="3"/>
      <c r="N897" s="3"/>
      <c r="O897" s="3"/>
      <c r="P897" s="3"/>
    </row>
    <row r="898">
      <c r="A898" s="3"/>
      <c r="B898" s="3"/>
      <c r="C898" s="3"/>
      <c r="D898" s="3"/>
      <c r="E898" s="3"/>
      <c r="F898" s="3"/>
      <c r="G898" s="3"/>
      <c r="H898" s="3"/>
      <c r="I898" s="3"/>
      <c r="J898" s="3"/>
      <c r="K898" s="3"/>
      <c r="L898" s="3"/>
      <c r="M898" s="3"/>
      <c r="N898" s="3"/>
      <c r="O898" s="3"/>
      <c r="P898" s="3"/>
    </row>
    <row r="899">
      <c r="A899" s="3"/>
      <c r="B899" s="3"/>
      <c r="C899" s="3"/>
      <c r="D899" s="3"/>
      <c r="E899" s="3"/>
      <c r="F899" s="3"/>
      <c r="G899" s="3"/>
      <c r="H899" s="3"/>
      <c r="I899" s="3"/>
      <c r="J899" s="3"/>
      <c r="K899" s="3"/>
      <c r="L899" s="3"/>
      <c r="M899" s="3"/>
      <c r="N899" s="3"/>
      <c r="O899" s="3"/>
      <c r="P899" s="3"/>
    </row>
    <row r="900">
      <c r="A900" s="3"/>
      <c r="B900" s="3"/>
      <c r="C900" s="3"/>
      <c r="D900" s="3"/>
      <c r="E900" s="3"/>
      <c r="F900" s="3"/>
      <c r="G900" s="3"/>
      <c r="H900" s="3"/>
      <c r="I900" s="3"/>
      <c r="J900" s="3"/>
      <c r="K900" s="3"/>
      <c r="L900" s="3"/>
      <c r="M900" s="3"/>
      <c r="N900" s="3"/>
      <c r="O900" s="3"/>
      <c r="P900" s="3"/>
    </row>
    <row r="901">
      <c r="A901" s="3"/>
      <c r="B901" s="3"/>
      <c r="C901" s="3"/>
      <c r="D901" s="3"/>
      <c r="E901" s="3"/>
      <c r="F901" s="3"/>
      <c r="G901" s="3"/>
      <c r="H901" s="3"/>
      <c r="I901" s="3"/>
      <c r="J901" s="3"/>
      <c r="K901" s="3"/>
      <c r="L901" s="3"/>
      <c r="M901" s="3"/>
      <c r="N901" s="3"/>
      <c r="O901" s="3"/>
      <c r="P901" s="3"/>
    </row>
    <row r="902">
      <c r="A902" s="3"/>
      <c r="B902" s="3"/>
      <c r="C902" s="3"/>
      <c r="D902" s="3"/>
      <c r="E902" s="3"/>
      <c r="F902" s="3"/>
      <c r="G902" s="3"/>
      <c r="H902" s="3"/>
      <c r="I902" s="3"/>
      <c r="J902" s="3"/>
      <c r="K902" s="3"/>
      <c r="L902" s="3"/>
      <c r="M902" s="3"/>
      <c r="N902" s="3"/>
      <c r="O902" s="3"/>
      <c r="P902" s="3"/>
    </row>
    <row r="903">
      <c r="A903" s="3"/>
      <c r="B903" s="3"/>
      <c r="C903" s="3"/>
      <c r="D903" s="3"/>
      <c r="E903" s="3"/>
      <c r="F903" s="3"/>
      <c r="G903" s="3"/>
      <c r="H903" s="3"/>
      <c r="I903" s="3"/>
      <c r="J903" s="3"/>
      <c r="K903" s="3"/>
      <c r="L903" s="3"/>
      <c r="M903" s="3"/>
      <c r="N903" s="3"/>
      <c r="O903" s="3"/>
      <c r="P903" s="3"/>
    </row>
    <row r="904">
      <c r="A904" s="3"/>
      <c r="B904" s="3"/>
      <c r="C904" s="3"/>
      <c r="D904" s="3"/>
      <c r="E904" s="3"/>
      <c r="F904" s="3"/>
      <c r="G904" s="3"/>
      <c r="H904" s="3"/>
      <c r="I904" s="3"/>
      <c r="J904" s="3"/>
      <c r="K904" s="3"/>
      <c r="L904" s="3"/>
      <c r="M904" s="3"/>
      <c r="N904" s="3"/>
      <c r="O904" s="3"/>
      <c r="P904" s="3"/>
    </row>
    <row r="905">
      <c r="A905" s="3"/>
      <c r="B905" s="3"/>
      <c r="C905" s="3"/>
      <c r="D905" s="3"/>
      <c r="E905" s="3"/>
      <c r="F905" s="3"/>
      <c r="G905" s="3"/>
      <c r="H905" s="3"/>
      <c r="I905" s="3"/>
      <c r="J905" s="3"/>
      <c r="K905" s="3"/>
      <c r="L905" s="3"/>
      <c r="M905" s="3"/>
      <c r="N905" s="3"/>
      <c r="O905" s="3"/>
      <c r="P905" s="3"/>
    </row>
    <row r="906">
      <c r="A906" s="3"/>
      <c r="B906" s="3"/>
      <c r="C906" s="3"/>
      <c r="D906" s="3"/>
      <c r="E906" s="3"/>
      <c r="F906" s="3"/>
      <c r="G906" s="3"/>
      <c r="H906" s="3"/>
      <c r="I906" s="3"/>
      <c r="J906" s="3"/>
      <c r="K906" s="3"/>
      <c r="L906" s="3"/>
      <c r="M906" s="3"/>
      <c r="N906" s="3"/>
      <c r="O906" s="3"/>
      <c r="P906" s="3"/>
    </row>
    <row r="907">
      <c r="A907" s="3"/>
      <c r="B907" s="3"/>
      <c r="C907" s="3"/>
      <c r="D907" s="3"/>
      <c r="E907" s="3"/>
      <c r="F907" s="3"/>
      <c r="G907" s="3"/>
      <c r="H907" s="3"/>
      <c r="I907" s="3"/>
      <c r="J907" s="3"/>
      <c r="K907" s="3"/>
      <c r="L907" s="3"/>
      <c r="M907" s="3"/>
      <c r="N907" s="3"/>
      <c r="O907" s="3"/>
      <c r="P907" s="3"/>
    </row>
    <row r="908">
      <c r="A908" s="3"/>
      <c r="B908" s="3"/>
      <c r="C908" s="3"/>
      <c r="D908" s="3"/>
      <c r="E908" s="3"/>
      <c r="F908" s="3"/>
      <c r="G908" s="3"/>
      <c r="H908" s="3"/>
      <c r="I908" s="3"/>
      <c r="J908" s="3"/>
      <c r="K908" s="3"/>
      <c r="L908" s="3"/>
      <c r="M908" s="3"/>
      <c r="N908" s="3"/>
      <c r="O908" s="3"/>
      <c r="P908" s="3"/>
    </row>
    <row r="909">
      <c r="A909" s="3"/>
      <c r="B909" s="3"/>
      <c r="C909" s="3"/>
      <c r="D909" s="3"/>
      <c r="E909" s="3"/>
      <c r="F909" s="3"/>
      <c r="G909" s="3"/>
      <c r="H909" s="3"/>
      <c r="I909" s="3"/>
      <c r="J909" s="3"/>
      <c r="K909" s="3"/>
      <c r="L909" s="3"/>
      <c r="M909" s="3"/>
      <c r="N909" s="3"/>
      <c r="O909" s="3"/>
      <c r="P909" s="3"/>
    </row>
    <row r="910">
      <c r="A910" s="3"/>
      <c r="B910" s="3"/>
      <c r="C910" s="3"/>
      <c r="D910" s="3"/>
      <c r="E910" s="3"/>
      <c r="F910" s="3"/>
      <c r="G910" s="3"/>
      <c r="H910" s="3"/>
      <c r="I910" s="3"/>
      <c r="J910" s="3"/>
      <c r="K910" s="3"/>
      <c r="L910" s="3"/>
      <c r="M910" s="3"/>
      <c r="N910" s="3"/>
      <c r="O910" s="3"/>
      <c r="P910" s="3"/>
    </row>
    <row r="911">
      <c r="A911" s="3"/>
      <c r="B911" s="3"/>
      <c r="C911" s="3"/>
      <c r="D911" s="3"/>
      <c r="E911" s="3"/>
      <c r="F911" s="3"/>
      <c r="G911" s="3"/>
      <c r="H911" s="3"/>
      <c r="I911" s="3"/>
      <c r="J911" s="3"/>
      <c r="K911" s="3"/>
      <c r="L911" s="3"/>
      <c r="M911" s="3"/>
      <c r="N911" s="3"/>
      <c r="O911" s="3"/>
      <c r="P911" s="3"/>
    </row>
    <row r="912">
      <c r="A912" s="3"/>
      <c r="B912" s="3"/>
      <c r="C912" s="3"/>
      <c r="D912" s="3"/>
      <c r="E912" s="3"/>
      <c r="F912" s="3"/>
      <c r="G912" s="3"/>
      <c r="H912" s="3"/>
      <c r="I912" s="3"/>
      <c r="J912" s="3"/>
      <c r="K912" s="3"/>
      <c r="L912" s="3"/>
      <c r="M912" s="3"/>
      <c r="N912" s="3"/>
      <c r="O912" s="3"/>
      <c r="P912" s="3"/>
    </row>
    <row r="913">
      <c r="A913" s="3"/>
      <c r="B913" s="3"/>
      <c r="C913" s="3"/>
      <c r="D913" s="3"/>
      <c r="E913" s="3"/>
      <c r="F913" s="3"/>
      <c r="G913" s="3"/>
      <c r="H913" s="3"/>
      <c r="I913" s="3"/>
      <c r="J913" s="3"/>
      <c r="K913" s="3"/>
      <c r="L913" s="3"/>
      <c r="M913" s="3"/>
      <c r="N913" s="3"/>
      <c r="O913" s="3"/>
      <c r="P913" s="3"/>
    </row>
    <row r="914">
      <c r="A914" s="3"/>
      <c r="B914" s="3"/>
      <c r="C914" s="3"/>
      <c r="D914" s="3"/>
      <c r="E914" s="3"/>
      <c r="F914" s="3"/>
      <c r="G914" s="3"/>
      <c r="H914" s="3"/>
      <c r="I914" s="3"/>
      <c r="J914" s="3"/>
      <c r="K914" s="3"/>
      <c r="L914" s="3"/>
      <c r="M914" s="3"/>
      <c r="N914" s="3"/>
      <c r="O914" s="3"/>
      <c r="P914" s="3"/>
    </row>
    <row r="915">
      <c r="A915" s="3"/>
      <c r="B915" s="3"/>
      <c r="C915" s="3"/>
      <c r="D915" s="3"/>
      <c r="E915" s="3"/>
      <c r="F915" s="3"/>
      <c r="G915" s="3"/>
      <c r="H915" s="3"/>
      <c r="I915" s="3"/>
      <c r="J915" s="3"/>
      <c r="K915" s="3"/>
      <c r="L915" s="3"/>
      <c r="M915" s="3"/>
      <c r="N915" s="3"/>
      <c r="O915" s="3"/>
      <c r="P915" s="3"/>
    </row>
    <row r="916">
      <c r="A916" s="3"/>
      <c r="B916" s="3"/>
      <c r="C916" s="3"/>
      <c r="D916" s="3"/>
      <c r="E916" s="3"/>
      <c r="F916" s="3"/>
      <c r="G916" s="3"/>
      <c r="H916" s="3"/>
      <c r="I916" s="3"/>
      <c r="J916" s="3"/>
      <c r="K916" s="3"/>
      <c r="L916" s="3"/>
      <c r="M916" s="3"/>
      <c r="N916" s="3"/>
      <c r="O916" s="3"/>
      <c r="P916" s="3"/>
    </row>
    <row r="917">
      <c r="A917" s="3"/>
      <c r="B917" s="3"/>
      <c r="C917" s="3"/>
      <c r="D917" s="3"/>
      <c r="E917" s="3"/>
      <c r="F917" s="3"/>
      <c r="G917" s="3"/>
      <c r="H917" s="3"/>
      <c r="I917" s="3"/>
      <c r="J917" s="3"/>
      <c r="K917" s="3"/>
      <c r="L917" s="3"/>
      <c r="M917" s="3"/>
      <c r="N917" s="3"/>
      <c r="O917" s="3"/>
      <c r="P917" s="3"/>
    </row>
    <row r="918">
      <c r="A918" s="3"/>
      <c r="B918" s="3"/>
      <c r="C918" s="3"/>
      <c r="D918" s="3"/>
      <c r="E918" s="3"/>
      <c r="F918" s="3"/>
      <c r="G918" s="3"/>
      <c r="H918" s="3"/>
      <c r="I918" s="3"/>
      <c r="J918" s="3"/>
      <c r="K918" s="3"/>
      <c r="L918" s="3"/>
      <c r="M918" s="3"/>
      <c r="N918" s="3"/>
      <c r="O918" s="3"/>
      <c r="P918" s="3"/>
    </row>
    <row r="919">
      <c r="A919" s="3"/>
      <c r="B919" s="3"/>
      <c r="C919" s="3"/>
      <c r="D919" s="3"/>
      <c r="E919" s="3"/>
      <c r="F919" s="3"/>
      <c r="G919" s="3"/>
      <c r="H919" s="3"/>
      <c r="I919" s="3"/>
      <c r="J919" s="3"/>
      <c r="K919" s="3"/>
      <c r="L919" s="3"/>
      <c r="M919" s="3"/>
      <c r="N919" s="3"/>
      <c r="O919" s="3"/>
      <c r="P919" s="3"/>
    </row>
    <row r="920">
      <c r="A920" s="3"/>
      <c r="B920" s="3"/>
      <c r="C920" s="3"/>
      <c r="D920" s="3"/>
      <c r="E920" s="3"/>
      <c r="F920" s="3"/>
      <c r="G920" s="3"/>
      <c r="H920" s="3"/>
      <c r="I920" s="3"/>
      <c r="J920" s="3"/>
      <c r="K920" s="3"/>
      <c r="L920" s="3"/>
      <c r="M920" s="3"/>
      <c r="N920" s="3"/>
      <c r="O920" s="3"/>
      <c r="P920" s="3"/>
    </row>
    <row r="921">
      <c r="A921" s="3"/>
      <c r="B921" s="3"/>
      <c r="C921" s="3"/>
      <c r="D921" s="3"/>
      <c r="E921" s="3"/>
      <c r="F921" s="3"/>
      <c r="G921" s="3"/>
      <c r="H921" s="3"/>
      <c r="I921" s="3"/>
      <c r="J921" s="3"/>
      <c r="K921" s="3"/>
      <c r="L921" s="3"/>
      <c r="M921" s="3"/>
      <c r="N921" s="3"/>
      <c r="O921" s="3"/>
      <c r="P921" s="3"/>
    </row>
    <row r="922">
      <c r="A922" s="3"/>
      <c r="B922" s="3"/>
      <c r="C922" s="3"/>
      <c r="D922" s="3"/>
      <c r="E922" s="3"/>
      <c r="F922" s="3"/>
      <c r="G922" s="3"/>
      <c r="H922" s="3"/>
      <c r="I922" s="3"/>
      <c r="J922" s="3"/>
      <c r="K922" s="3"/>
      <c r="L922" s="3"/>
      <c r="M922" s="3"/>
      <c r="N922" s="3"/>
      <c r="O922" s="3"/>
      <c r="P922" s="3"/>
    </row>
    <row r="923">
      <c r="A923" s="3"/>
      <c r="B923" s="3"/>
      <c r="C923" s="3"/>
      <c r="D923" s="3"/>
      <c r="E923" s="3"/>
      <c r="F923" s="3"/>
      <c r="G923" s="3"/>
      <c r="H923" s="3"/>
      <c r="I923" s="3"/>
      <c r="J923" s="3"/>
      <c r="K923" s="3"/>
      <c r="L923" s="3"/>
      <c r="M923" s="3"/>
      <c r="N923" s="3"/>
      <c r="O923" s="3"/>
      <c r="P923" s="3"/>
    </row>
    <row r="924">
      <c r="A924" s="3"/>
      <c r="B924" s="3"/>
      <c r="C924" s="3"/>
      <c r="D924" s="3"/>
      <c r="E924" s="3"/>
      <c r="F924" s="3"/>
      <c r="G924" s="3"/>
      <c r="H924" s="3"/>
      <c r="I924" s="3"/>
      <c r="J924" s="3"/>
      <c r="K924" s="3"/>
      <c r="L924" s="3"/>
      <c r="M924" s="3"/>
      <c r="N924" s="3"/>
      <c r="O924" s="3"/>
      <c r="P924" s="3"/>
    </row>
    <row r="925">
      <c r="A925" s="3"/>
      <c r="B925" s="3"/>
      <c r="C925" s="3"/>
      <c r="D925" s="3"/>
      <c r="E925" s="3"/>
      <c r="F925" s="3"/>
      <c r="G925" s="3"/>
      <c r="H925" s="3"/>
      <c r="I925" s="3"/>
      <c r="J925" s="3"/>
      <c r="K925" s="3"/>
      <c r="L925" s="3"/>
      <c r="M925" s="3"/>
      <c r="N925" s="3"/>
      <c r="O925" s="3"/>
      <c r="P925" s="3"/>
    </row>
    <row r="926">
      <c r="A926" s="3"/>
      <c r="B926" s="3"/>
      <c r="C926" s="3"/>
      <c r="D926" s="3"/>
      <c r="E926" s="3"/>
      <c r="F926" s="3"/>
      <c r="G926" s="3"/>
      <c r="H926" s="3"/>
      <c r="I926" s="3"/>
      <c r="J926" s="3"/>
      <c r="K926" s="3"/>
      <c r="L926" s="3"/>
      <c r="M926" s="3"/>
      <c r="N926" s="3"/>
      <c r="O926" s="3"/>
      <c r="P926" s="3"/>
    </row>
    <row r="927">
      <c r="A927" s="3"/>
      <c r="B927" s="3"/>
      <c r="C927" s="3"/>
      <c r="D927" s="3"/>
      <c r="E927" s="3"/>
      <c r="F927" s="3"/>
      <c r="G927" s="3"/>
      <c r="H927" s="3"/>
      <c r="I927" s="3"/>
      <c r="J927" s="3"/>
      <c r="K927" s="3"/>
      <c r="L927" s="3"/>
      <c r="M927" s="3"/>
      <c r="N927" s="3"/>
      <c r="O927" s="3"/>
      <c r="P927" s="3"/>
    </row>
    <row r="928">
      <c r="A928" s="3"/>
      <c r="B928" s="3"/>
      <c r="C928" s="3"/>
      <c r="D928" s="3"/>
      <c r="E928" s="3"/>
      <c r="F928" s="3"/>
      <c r="G928" s="3"/>
      <c r="H928" s="3"/>
      <c r="I928" s="3"/>
      <c r="J928" s="3"/>
      <c r="K928" s="3"/>
      <c r="L928" s="3"/>
      <c r="M928" s="3"/>
      <c r="N928" s="3"/>
      <c r="O928" s="3"/>
      <c r="P928" s="3"/>
    </row>
    <row r="929">
      <c r="A929" s="3"/>
      <c r="B929" s="3"/>
      <c r="C929" s="3"/>
      <c r="D929" s="3"/>
      <c r="E929" s="3"/>
      <c r="F929" s="3"/>
      <c r="G929" s="3"/>
      <c r="H929" s="3"/>
      <c r="I929" s="3"/>
      <c r="J929" s="3"/>
      <c r="K929" s="3"/>
      <c r="L929" s="3"/>
      <c r="M929" s="3"/>
      <c r="N929" s="3"/>
      <c r="O929" s="3"/>
      <c r="P929" s="3"/>
    </row>
    <row r="930">
      <c r="A930" s="3"/>
      <c r="B930" s="3"/>
      <c r="C930" s="3"/>
      <c r="D930" s="3"/>
      <c r="E930" s="3"/>
      <c r="F930" s="3"/>
      <c r="G930" s="3"/>
      <c r="H930" s="3"/>
      <c r="I930" s="3"/>
      <c r="J930" s="3"/>
      <c r="K930" s="3"/>
      <c r="L930" s="3"/>
      <c r="M930" s="3"/>
      <c r="N930" s="3"/>
      <c r="O930" s="3"/>
      <c r="P930" s="3"/>
    </row>
    <row r="931">
      <c r="A931" s="3"/>
      <c r="B931" s="3"/>
      <c r="C931" s="3"/>
      <c r="D931" s="3"/>
      <c r="E931" s="3"/>
      <c r="F931" s="3"/>
      <c r="G931" s="3"/>
      <c r="H931" s="3"/>
      <c r="I931" s="3"/>
      <c r="J931" s="3"/>
      <c r="K931" s="3"/>
      <c r="L931" s="3"/>
      <c r="M931" s="3"/>
      <c r="N931" s="3"/>
      <c r="O931" s="3"/>
      <c r="P931" s="3"/>
    </row>
    <row r="932">
      <c r="A932" s="3"/>
      <c r="B932" s="3"/>
      <c r="C932" s="3"/>
      <c r="D932" s="3"/>
      <c r="E932" s="3"/>
      <c r="F932" s="3"/>
      <c r="G932" s="3"/>
      <c r="H932" s="3"/>
      <c r="I932" s="3"/>
      <c r="J932" s="3"/>
      <c r="K932" s="3"/>
      <c r="L932" s="3"/>
      <c r="M932" s="3"/>
      <c r="N932" s="3"/>
      <c r="O932" s="3"/>
      <c r="P932" s="3"/>
    </row>
    <row r="933">
      <c r="A933" s="3"/>
      <c r="B933" s="3"/>
      <c r="C933" s="3"/>
      <c r="D933" s="3"/>
      <c r="E933" s="3"/>
      <c r="F933" s="3"/>
      <c r="G933" s="3"/>
      <c r="H933" s="3"/>
      <c r="I933" s="3"/>
      <c r="J933" s="3"/>
      <c r="K933" s="3"/>
      <c r="L933" s="3"/>
      <c r="M933" s="3"/>
      <c r="N933" s="3"/>
      <c r="O933" s="3"/>
      <c r="P933" s="3"/>
    </row>
    <row r="934">
      <c r="A934" s="3"/>
      <c r="B934" s="3"/>
      <c r="C934" s="3"/>
      <c r="D934" s="3"/>
      <c r="E934" s="3"/>
      <c r="F934" s="3"/>
      <c r="G934" s="3"/>
      <c r="H934" s="3"/>
      <c r="I934" s="3"/>
      <c r="J934" s="3"/>
      <c r="K934" s="3"/>
      <c r="L934" s="3"/>
      <c r="M934" s="3"/>
      <c r="N934" s="3"/>
      <c r="O934" s="3"/>
      <c r="P934" s="3"/>
    </row>
    <row r="935">
      <c r="A935" s="3"/>
      <c r="B935" s="3"/>
      <c r="C935" s="3"/>
      <c r="D935" s="3"/>
      <c r="E935" s="3"/>
      <c r="F935" s="3"/>
      <c r="G935" s="3"/>
      <c r="H935" s="3"/>
      <c r="I935" s="3"/>
      <c r="J935" s="3"/>
      <c r="K935" s="3"/>
      <c r="L935" s="3"/>
      <c r="M935" s="3"/>
      <c r="N935" s="3"/>
      <c r="O935" s="3"/>
      <c r="P935" s="3"/>
    </row>
    <row r="936">
      <c r="A936" s="3"/>
      <c r="B936" s="3"/>
      <c r="C936" s="3"/>
      <c r="D936" s="3"/>
      <c r="E936" s="3"/>
      <c r="F936" s="3"/>
      <c r="G936" s="3"/>
      <c r="H936" s="3"/>
      <c r="I936" s="3"/>
      <c r="J936" s="3"/>
      <c r="K936" s="3"/>
      <c r="L936" s="3"/>
      <c r="M936" s="3"/>
      <c r="N936" s="3"/>
      <c r="O936" s="3"/>
      <c r="P936" s="3"/>
    </row>
    <row r="937">
      <c r="A937" s="3"/>
      <c r="B937" s="3"/>
      <c r="C937" s="3"/>
      <c r="D937" s="3"/>
      <c r="E937" s="3"/>
      <c r="F937" s="3"/>
      <c r="G937" s="3"/>
      <c r="H937" s="3"/>
      <c r="I937" s="3"/>
      <c r="J937" s="3"/>
      <c r="K937" s="3"/>
      <c r="L937" s="3"/>
      <c r="M937" s="3"/>
      <c r="N937" s="3"/>
      <c r="O937" s="3"/>
      <c r="P937" s="3"/>
    </row>
    <row r="938">
      <c r="A938" s="3"/>
      <c r="B938" s="3"/>
      <c r="C938" s="3"/>
      <c r="D938" s="3"/>
      <c r="E938" s="3"/>
      <c r="F938" s="3"/>
      <c r="G938" s="3"/>
      <c r="H938" s="3"/>
      <c r="I938" s="3"/>
      <c r="J938" s="3"/>
      <c r="K938" s="3"/>
      <c r="L938" s="3"/>
      <c r="M938" s="3"/>
      <c r="N938" s="3"/>
      <c r="O938" s="3"/>
      <c r="P938" s="3"/>
    </row>
    <row r="939">
      <c r="A939" s="3"/>
      <c r="B939" s="3"/>
      <c r="C939" s="3"/>
      <c r="D939" s="3"/>
      <c r="E939" s="3"/>
      <c r="F939" s="3"/>
      <c r="G939" s="3"/>
      <c r="H939" s="3"/>
      <c r="I939" s="3"/>
      <c r="J939" s="3"/>
      <c r="K939" s="3"/>
      <c r="L939" s="3"/>
      <c r="M939" s="3"/>
      <c r="N939" s="3"/>
      <c r="O939" s="3"/>
      <c r="P939" s="3"/>
    </row>
    <row r="940">
      <c r="A940" s="3"/>
      <c r="B940" s="3"/>
      <c r="C940" s="3"/>
      <c r="D940" s="3"/>
      <c r="E940" s="3"/>
      <c r="F940" s="3"/>
      <c r="G940" s="3"/>
      <c r="H940" s="3"/>
      <c r="I940" s="3"/>
      <c r="J940" s="3"/>
      <c r="K940" s="3"/>
      <c r="L940" s="3"/>
      <c r="M940" s="3"/>
      <c r="N940" s="3"/>
      <c r="O940" s="3"/>
      <c r="P940" s="3"/>
    </row>
    <row r="941">
      <c r="A941" s="3"/>
      <c r="B941" s="3"/>
      <c r="C941" s="3"/>
      <c r="D941" s="3"/>
      <c r="E941" s="3"/>
      <c r="F941" s="3"/>
      <c r="G941" s="3"/>
      <c r="H941" s="3"/>
      <c r="I941" s="3"/>
      <c r="J941" s="3"/>
      <c r="K941" s="3"/>
      <c r="L941" s="3"/>
      <c r="M941" s="3"/>
      <c r="N941" s="3"/>
      <c r="O941" s="3"/>
      <c r="P941" s="3"/>
    </row>
    <row r="942">
      <c r="A942" s="3"/>
      <c r="B942" s="3"/>
      <c r="C942" s="3"/>
      <c r="D942" s="3"/>
      <c r="E942" s="3"/>
      <c r="F942" s="3"/>
      <c r="G942" s="3"/>
      <c r="H942" s="3"/>
      <c r="I942" s="3"/>
      <c r="J942" s="3"/>
      <c r="K942" s="3"/>
      <c r="L942" s="3"/>
      <c r="M942" s="3"/>
      <c r="N942" s="3"/>
      <c r="O942" s="3"/>
      <c r="P942" s="3"/>
    </row>
    <row r="943">
      <c r="A943" s="3"/>
      <c r="B943" s="3"/>
      <c r="C943" s="3"/>
      <c r="D943" s="3"/>
      <c r="E943" s="3"/>
      <c r="F943" s="3"/>
      <c r="G943" s="3"/>
      <c r="H943" s="3"/>
      <c r="I943" s="3"/>
      <c r="J943" s="3"/>
      <c r="K943" s="3"/>
      <c r="L943" s="3"/>
      <c r="M943" s="3"/>
      <c r="N943" s="3"/>
      <c r="O943" s="3"/>
      <c r="P943" s="3"/>
    </row>
    <row r="944">
      <c r="A944" s="3"/>
      <c r="B944" s="3"/>
      <c r="C944" s="3"/>
      <c r="D944" s="3"/>
      <c r="E944" s="3"/>
      <c r="F944" s="3"/>
      <c r="G944" s="3"/>
      <c r="H944" s="3"/>
      <c r="I944" s="3"/>
      <c r="J944" s="3"/>
      <c r="K944" s="3"/>
      <c r="L944" s="3"/>
      <c r="M944" s="3"/>
      <c r="N944" s="3"/>
      <c r="O944" s="3"/>
      <c r="P944" s="3"/>
    </row>
    <row r="945">
      <c r="A945" s="3"/>
      <c r="B945" s="3"/>
      <c r="C945" s="3"/>
      <c r="D945" s="3"/>
      <c r="E945" s="3"/>
      <c r="F945" s="3"/>
      <c r="G945" s="3"/>
      <c r="H945" s="3"/>
      <c r="I945" s="3"/>
      <c r="J945" s="3"/>
      <c r="K945" s="3"/>
      <c r="L945" s="3"/>
      <c r="M945" s="3"/>
      <c r="N945" s="3"/>
      <c r="O945" s="3"/>
      <c r="P945" s="3"/>
    </row>
    <row r="946">
      <c r="A946" s="3"/>
      <c r="B946" s="3"/>
      <c r="C946" s="3"/>
      <c r="D946" s="3"/>
      <c r="E946" s="3"/>
      <c r="F946" s="3"/>
      <c r="G946" s="3"/>
      <c r="H946" s="3"/>
      <c r="I946" s="3"/>
      <c r="J946" s="3"/>
      <c r="K946" s="3"/>
      <c r="L946" s="3"/>
      <c r="M946" s="3"/>
      <c r="N946" s="3"/>
      <c r="O946" s="3"/>
      <c r="P946" s="3"/>
    </row>
    <row r="947">
      <c r="A947" s="3"/>
      <c r="B947" s="3"/>
      <c r="C947" s="3"/>
      <c r="D947" s="3"/>
      <c r="E947" s="3"/>
      <c r="F947" s="3"/>
      <c r="G947" s="3"/>
      <c r="H947" s="3"/>
      <c r="I947" s="3"/>
      <c r="J947" s="3"/>
      <c r="K947" s="3"/>
      <c r="L947" s="3"/>
      <c r="M947" s="3"/>
      <c r="N947" s="3"/>
      <c r="O947" s="3"/>
      <c r="P947" s="3"/>
    </row>
    <row r="948">
      <c r="A948" s="3"/>
      <c r="B948" s="3"/>
      <c r="C948" s="3"/>
      <c r="D948" s="3"/>
      <c r="E948" s="3"/>
      <c r="F948" s="3"/>
      <c r="G948" s="3"/>
      <c r="H948" s="3"/>
      <c r="I948" s="3"/>
      <c r="J948" s="3"/>
      <c r="K948" s="3"/>
      <c r="L948" s="3"/>
      <c r="M948" s="3"/>
      <c r="N948" s="3"/>
      <c r="O948" s="3"/>
      <c r="P948" s="3"/>
    </row>
    <row r="949">
      <c r="A949" s="3"/>
      <c r="B949" s="3"/>
      <c r="C949" s="3"/>
      <c r="D949" s="3"/>
      <c r="E949" s="3"/>
      <c r="F949" s="3"/>
      <c r="G949" s="3"/>
      <c r="H949" s="3"/>
      <c r="I949" s="3"/>
      <c r="J949" s="3"/>
      <c r="K949" s="3"/>
      <c r="L949" s="3"/>
      <c r="M949" s="3"/>
      <c r="N949" s="3"/>
      <c r="O949" s="3"/>
      <c r="P949" s="3"/>
    </row>
    <row r="950">
      <c r="A950" s="3"/>
      <c r="B950" s="3"/>
      <c r="C950" s="3"/>
      <c r="D950" s="3"/>
      <c r="E950" s="3"/>
      <c r="F950" s="3"/>
      <c r="G950" s="3"/>
      <c r="H950" s="3"/>
      <c r="I950" s="3"/>
      <c r="J950" s="3"/>
      <c r="K950" s="3"/>
      <c r="L950" s="3"/>
      <c r="M950" s="3"/>
      <c r="N950" s="3"/>
      <c r="O950" s="3"/>
      <c r="P950" s="3"/>
    </row>
    <row r="951">
      <c r="A951" s="3"/>
      <c r="B951" s="3"/>
      <c r="C951" s="3"/>
      <c r="D951" s="3"/>
      <c r="E951" s="3"/>
      <c r="F951" s="3"/>
      <c r="G951" s="3"/>
      <c r="H951" s="3"/>
      <c r="I951" s="3"/>
      <c r="J951" s="3"/>
      <c r="K951" s="3"/>
      <c r="L951" s="3"/>
      <c r="M951" s="3"/>
      <c r="N951" s="3"/>
      <c r="O951" s="3"/>
      <c r="P951" s="3"/>
    </row>
    <row r="952">
      <c r="A952" s="3"/>
      <c r="B952" s="3"/>
      <c r="C952" s="3"/>
      <c r="D952" s="3"/>
      <c r="E952" s="3"/>
      <c r="F952" s="3"/>
      <c r="G952" s="3"/>
      <c r="H952" s="3"/>
      <c r="I952" s="3"/>
      <c r="J952" s="3"/>
      <c r="K952" s="3"/>
      <c r="L952" s="3"/>
      <c r="M952" s="3"/>
      <c r="N952" s="3"/>
      <c r="O952" s="3"/>
      <c r="P952" s="3"/>
    </row>
    <row r="953">
      <c r="A953" s="3"/>
      <c r="B953" s="3"/>
      <c r="C953" s="3"/>
      <c r="D953" s="3"/>
      <c r="E953" s="3"/>
      <c r="F953" s="3"/>
      <c r="G953" s="3"/>
      <c r="H953" s="3"/>
      <c r="I953" s="3"/>
      <c r="J953" s="3"/>
      <c r="K953" s="3"/>
      <c r="L953" s="3"/>
      <c r="M953" s="3"/>
      <c r="N953" s="3"/>
      <c r="O953" s="3"/>
      <c r="P953" s="3"/>
    </row>
    <row r="954">
      <c r="A954" s="3"/>
      <c r="B954" s="3"/>
      <c r="C954" s="3"/>
      <c r="D954" s="3"/>
      <c r="E954" s="3"/>
      <c r="F954" s="3"/>
      <c r="G954" s="3"/>
      <c r="H954" s="3"/>
      <c r="I954" s="3"/>
      <c r="J954" s="3"/>
      <c r="K954" s="3"/>
      <c r="L954" s="3"/>
      <c r="M954" s="3"/>
      <c r="N954" s="3"/>
      <c r="O954" s="3"/>
      <c r="P954" s="3"/>
    </row>
    <row r="955">
      <c r="A955" s="3"/>
      <c r="B955" s="3"/>
      <c r="C955" s="3"/>
      <c r="D955" s="3"/>
      <c r="E955" s="3"/>
      <c r="F955" s="3"/>
      <c r="G955" s="3"/>
      <c r="H955" s="3"/>
      <c r="I955" s="3"/>
      <c r="J955" s="3"/>
      <c r="K955" s="3"/>
      <c r="L955" s="3"/>
      <c r="M955" s="3"/>
      <c r="N955" s="3"/>
      <c r="O955" s="3"/>
      <c r="P955" s="3"/>
    </row>
    <row r="956">
      <c r="A956" s="3"/>
      <c r="B956" s="3"/>
      <c r="C956" s="3"/>
      <c r="D956" s="3"/>
      <c r="E956" s="3"/>
      <c r="F956" s="3"/>
      <c r="G956" s="3"/>
      <c r="H956" s="3"/>
      <c r="I956" s="3"/>
      <c r="J956" s="3"/>
      <c r="K956" s="3"/>
      <c r="L956" s="3"/>
      <c r="M956" s="3"/>
      <c r="N956" s="3"/>
      <c r="O956" s="3"/>
      <c r="P956" s="3"/>
    </row>
    <row r="957">
      <c r="A957" s="3"/>
      <c r="B957" s="3"/>
      <c r="C957" s="3"/>
      <c r="D957" s="3"/>
      <c r="E957" s="3"/>
      <c r="F957" s="3"/>
      <c r="G957" s="3"/>
      <c r="H957" s="3"/>
      <c r="I957" s="3"/>
      <c r="J957" s="3"/>
      <c r="K957" s="3"/>
      <c r="L957" s="3"/>
      <c r="M957" s="3"/>
      <c r="N957" s="3"/>
      <c r="O957" s="3"/>
      <c r="P957" s="3"/>
    </row>
    <row r="958">
      <c r="A958" s="3"/>
      <c r="B958" s="3"/>
      <c r="C958" s="3"/>
      <c r="D958" s="3"/>
      <c r="E958" s="3"/>
      <c r="F958" s="3"/>
      <c r="G958" s="3"/>
      <c r="H958" s="3"/>
      <c r="I958" s="3"/>
      <c r="J958" s="3"/>
      <c r="K958" s="3"/>
      <c r="L958" s="3"/>
      <c r="M958" s="3"/>
      <c r="N958" s="3"/>
      <c r="O958" s="3"/>
      <c r="P958" s="3"/>
    </row>
    <row r="959">
      <c r="A959" s="3"/>
      <c r="B959" s="3"/>
      <c r="C959" s="3"/>
      <c r="D959" s="3"/>
      <c r="E959" s="3"/>
      <c r="F959" s="3"/>
      <c r="G959" s="3"/>
      <c r="H959" s="3"/>
      <c r="I959" s="3"/>
      <c r="J959" s="3"/>
      <c r="K959" s="3"/>
      <c r="L959" s="3"/>
      <c r="M959" s="3"/>
      <c r="N959" s="3"/>
      <c r="O959" s="3"/>
      <c r="P959" s="3"/>
    </row>
    <row r="960">
      <c r="A960" s="3"/>
      <c r="B960" s="3"/>
      <c r="C960" s="3"/>
      <c r="D960" s="3"/>
      <c r="E960" s="3"/>
      <c r="F960" s="3"/>
      <c r="G960" s="3"/>
      <c r="H960" s="3"/>
      <c r="I960" s="3"/>
      <c r="J960" s="3"/>
      <c r="K960" s="3"/>
      <c r="L960" s="3"/>
      <c r="M960" s="3"/>
      <c r="N960" s="3"/>
      <c r="O960" s="3"/>
      <c r="P960" s="3"/>
    </row>
    <row r="961">
      <c r="A961" s="3"/>
      <c r="B961" s="3"/>
      <c r="C961" s="3"/>
      <c r="D961" s="3"/>
      <c r="E961" s="3"/>
      <c r="F961" s="3"/>
      <c r="G961" s="3"/>
      <c r="H961" s="3"/>
      <c r="I961" s="3"/>
      <c r="J961" s="3"/>
      <c r="K961" s="3"/>
      <c r="L961" s="3"/>
      <c r="M961" s="3"/>
      <c r="N961" s="3"/>
      <c r="O961" s="3"/>
      <c r="P961" s="3"/>
    </row>
    <row r="962">
      <c r="A962" s="3"/>
      <c r="B962" s="3"/>
      <c r="C962" s="3"/>
      <c r="D962" s="3"/>
      <c r="E962" s="3"/>
      <c r="F962" s="3"/>
      <c r="G962" s="3"/>
      <c r="H962" s="3"/>
      <c r="I962" s="3"/>
      <c r="J962" s="3"/>
      <c r="K962" s="3"/>
      <c r="L962" s="3"/>
      <c r="M962" s="3"/>
      <c r="N962" s="3"/>
      <c r="O962" s="3"/>
      <c r="P962" s="3"/>
    </row>
    <row r="963">
      <c r="A963" s="3"/>
      <c r="B963" s="3"/>
      <c r="C963" s="3"/>
      <c r="D963" s="3"/>
      <c r="E963" s="3"/>
      <c r="F963" s="3"/>
      <c r="G963" s="3"/>
      <c r="H963" s="3"/>
      <c r="I963" s="3"/>
      <c r="J963" s="3"/>
      <c r="K963" s="3"/>
      <c r="L963" s="3"/>
      <c r="M963" s="3"/>
      <c r="N963" s="3"/>
      <c r="O963" s="3"/>
      <c r="P963" s="3"/>
    </row>
    <row r="964">
      <c r="A964" s="3"/>
      <c r="B964" s="3"/>
      <c r="C964" s="3"/>
      <c r="D964" s="3"/>
      <c r="E964" s="3"/>
      <c r="F964" s="3"/>
      <c r="G964" s="3"/>
      <c r="H964" s="3"/>
      <c r="I964" s="3"/>
      <c r="J964" s="3"/>
      <c r="K964" s="3"/>
      <c r="L964" s="3"/>
      <c r="M964" s="3"/>
      <c r="N964" s="3"/>
      <c r="O964" s="3"/>
      <c r="P964" s="3"/>
    </row>
    <row r="965">
      <c r="A965" s="3"/>
      <c r="B965" s="3"/>
      <c r="C965" s="3"/>
      <c r="D965" s="3"/>
      <c r="E965" s="3"/>
      <c r="F965" s="3"/>
      <c r="G965" s="3"/>
      <c r="H965" s="3"/>
      <c r="I965" s="3"/>
      <c r="J965" s="3"/>
      <c r="K965" s="3"/>
      <c r="L965" s="3"/>
      <c r="M965" s="3"/>
      <c r="N965" s="3"/>
      <c r="O965" s="3"/>
      <c r="P965" s="3"/>
    </row>
    <row r="966">
      <c r="A966" s="3"/>
      <c r="B966" s="3"/>
      <c r="C966" s="3"/>
      <c r="D966" s="3"/>
      <c r="E966" s="3"/>
      <c r="F966" s="3"/>
      <c r="G966" s="3"/>
      <c r="H966" s="3"/>
      <c r="I966" s="3"/>
      <c r="J966" s="3"/>
      <c r="K966" s="3"/>
      <c r="L966" s="3"/>
      <c r="M966" s="3"/>
      <c r="N966" s="3"/>
      <c r="O966" s="3"/>
      <c r="P966" s="3"/>
    </row>
    <row r="967">
      <c r="A967" s="3"/>
      <c r="B967" s="3"/>
      <c r="C967" s="3"/>
      <c r="D967" s="3"/>
      <c r="E967" s="3"/>
      <c r="F967" s="3"/>
      <c r="G967" s="3"/>
      <c r="H967" s="3"/>
      <c r="I967" s="3"/>
      <c r="J967" s="3"/>
      <c r="K967" s="3"/>
      <c r="L967" s="3"/>
      <c r="M967" s="3"/>
      <c r="N967" s="3"/>
      <c r="O967" s="3"/>
      <c r="P967" s="3"/>
    </row>
    <row r="968">
      <c r="A968" s="3"/>
      <c r="B968" s="3"/>
      <c r="C968" s="3"/>
      <c r="D968" s="3"/>
      <c r="E968" s="3"/>
      <c r="F968" s="3"/>
      <c r="G968" s="3"/>
      <c r="H968" s="3"/>
      <c r="I968" s="3"/>
      <c r="J968" s="3"/>
      <c r="K968" s="3"/>
      <c r="L968" s="3"/>
      <c r="M968" s="3"/>
      <c r="N968" s="3"/>
      <c r="O968" s="3"/>
      <c r="P968" s="3"/>
    </row>
    <row r="969">
      <c r="A969" s="3"/>
      <c r="B969" s="3"/>
      <c r="C969" s="3"/>
      <c r="D969" s="3"/>
      <c r="E969" s="3"/>
      <c r="F969" s="3"/>
      <c r="G969" s="3"/>
      <c r="H969" s="3"/>
      <c r="I969" s="3"/>
      <c r="J969" s="3"/>
      <c r="K969" s="3"/>
      <c r="L969" s="3"/>
      <c r="M969" s="3"/>
      <c r="N969" s="3"/>
      <c r="O969" s="3"/>
      <c r="P969" s="3"/>
    </row>
    <row r="970">
      <c r="A970" s="3"/>
      <c r="B970" s="3"/>
      <c r="C970" s="3"/>
      <c r="D970" s="3"/>
      <c r="E970" s="3"/>
      <c r="F970" s="3"/>
      <c r="G970" s="3"/>
      <c r="H970" s="3"/>
      <c r="I970" s="3"/>
      <c r="J970" s="3"/>
      <c r="K970" s="3"/>
      <c r="L970" s="3"/>
      <c r="M970" s="3"/>
      <c r="N970" s="3"/>
      <c r="O970" s="3"/>
      <c r="P970" s="3"/>
    </row>
    <row r="971">
      <c r="A971" s="3"/>
      <c r="B971" s="3"/>
      <c r="C971" s="3"/>
      <c r="D971" s="3"/>
      <c r="E971" s="3"/>
      <c r="F971" s="3"/>
      <c r="G971" s="3"/>
      <c r="H971" s="3"/>
      <c r="I971" s="3"/>
      <c r="J971" s="3"/>
      <c r="K971" s="3"/>
      <c r="L971" s="3"/>
      <c r="M971" s="3"/>
      <c r="N971" s="3"/>
      <c r="O971" s="3"/>
      <c r="P971" s="3"/>
    </row>
    <row r="972">
      <c r="A972" s="3"/>
      <c r="B972" s="3"/>
      <c r="C972" s="3"/>
      <c r="D972" s="3"/>
      <c r="E972" s="3"/>
      <c r="F972" s="3"/>
      <c r="G972" s="3"/>
      <c r="H972" s="3"/>
      <c r="I972" s="3"/>
      <c r="J972" s="3"/>
      <c r="K972" s="3"/>
      <c r="L972" s="3"/>
      <c r="M972" s="3"/>
      <c r="N972" s="3"/>
      <c r="O972" s="3"/>
      <c r="P972" s="3"/>
    </row>
    <row r="973">
      <c r="A973" s="3"/>
      <c r="B973" s="3"/>
      <c r="C973" s="3"/>
      <c r="D973" s="3"/>
      <c r="E973" s="3"/>
      <c r="F973" s="3"/>
      <c r="G973" s="3"/>
      <c r="H973" s="3"/>
      <c r="I973" s="3"/>
      <c r="J973" s="3"/>
      <c r="K973" s="3"/>
      <c r="L973" s="3"/>
      <c r="M973" s="3"/>
      <c r="N973" s="3"/>
      <c r="O973" s="3"/>
      <c r="P973" s="3"/>
    </row>
    <row r="974">
      <c r="A974" s="3"/>
      <c r="B974" s="3"/>
      <c r="C974" s="3"/>
      <c r="D974" s="3"/>
      <c r="E974" s="3"/>
      <c r="F974" s="3"/>
      <c r="G974" s="3"/>
      <c r="H974" s="3"/>
      <c r="I974" s="3"/>
      <c r="J974" s="3"/>
      <c r="K974" s="3"/>
      <c r="L974" s="3"/>
      <c r="M974" s="3"/>
      <c r="N974" s="3"/>
      <c r="O974" s="3"/>
      <c r="P974" s="3"/>
    </row>
    <row r="975">
      <c r="A975" s="3"/>
      <c r="B975" s="3"/>
      <c r="C975" s="3"/>
      <c r="D975" s="3"/>
      <c r="E975" s="3"/>
      <c r="F975" s="3"/>
      <c r="G975" s="3"/>
      <c r="H975" s="3"/>
      <c r="I975" s="3"/>
      <c r="J975" s="3"/>
      <c r="K975" s="3"/>
      <c r="L975" s="3"/>
      <c r="M975" s="3"/>
      <c r="N975" s="3"/>
      <c r="O975" s="3"/>
      <c r="P975" s="3"/>
    </row>
    <row r="976">
      <c r="A976" s="3"/>
      <c r="B976" s="3"/>
      <c r="C976" s="3"/>
      <c r="D976" s="3"/>
      <c r="E976" s="3"/>
      <c r="F976" s="3"/>
      <c r="G976" s="3"/>
      <c r="H976" s="3"/>
      <c r="I976" s="3"/>
      <c r="J976" s="3"/>
      <c r="K976" s="3"/>
      <c r="L976" s="3"/>
      <c r="M976" s="3"/>
      <c r="N976" s="3"/>
      <c r="O976" s="3"/>
      <c r="P976" s="3"/>
    </row>
    <row r="977">
      <c r="A977" s="3"/>
      <c r="B977" s="3"/>
      <c r="C977" s="3"/>
      <c r="D977" s="3"/>
      <c r="E977" s="3"/>
      <c r="F977" s="3"/>
      <c r="G977" s="3"/>
      <c r="H977" s="3"/>
      <c r="I977" s="3"/>
      <c r="J977" s="3"/>
      <c r="K977" s="3"/>
      <c r="L977" s="3"/>
      <c r="M977" s="3"/>
      <c r="N977" s="3"/>
      <c r="O977" s="3"/>
      <c r="P977" s="3"/>
    </row>
    <row r="978">
      <c r="A978" s="3"/>
      <c r="B978" s="3"/>
      <c r="C978" s="3"/>
      <c r="D978" s="3"/>
      <c r="E978" s="3"/>
      <c r="F978" s="3"/>
      <c r="G978" s="3"/>
      <c r="H978" s="3"/>
      <c r="I978" s="3"/>
      <c r="J978" s="3"/>
      <c r="K978" s="3"/>
      <c r="L978" s="3"/>
      <c r="M978" s="3"/>
      <c r="N978" s="3"/>
      <c r="O978" s="3"/>
      <c r="P978" s="3"/>
    </row>
    <row r="979">
      <c r="A979" s="3"/>
      <c r="B979" s="3"/>
      <c r="C979" s="3"/>
      <c r="D979" s="3"/>
      <c r="E979" s="3"/>
      <c r="F979" s="3"/>
      <c r="G979" s="3"/>
      <c r="H979" s="3"/>
      <c r="I979" s="3"/>
      <c r="J979" s="3"/>
      <c r="K979" s="3"/>
      <c r="L979" s="3"/>
      <c r="M979" s="3"/>
      <c r="N979" s="3"/>
      <c r="O979" s="3"/>
      <c r="P979" s="3"/>
    </row>
    <row r="980">
      <c r="A980" s="3"/>
      <c r="B980" s="3"/>
      <c r="C980" s="3"/>
      <c r="D980" s="3"/>
      <c r="E980" s="3"/>
      <c r="F980" s="3"/>
      <c r="G980" s="3"/>
      <c r="H980" s="3"/>
      <c r="I980" s="3"/>
      <c r="J980" s="3"/>
      <c r="K980" s="3"/>
      <c r="L980" s="3"/>
      <c r="M980" s="3"/>
      <c r="N980" s="3"/>
      <c r="O980" s="3"/>
      <c r="P980" s="3"/>
    </row>
    <row r="981">
      <c r="A981" s="3"/>
      <c r="B981" s="3"/>
      <c r="C981" s="3"/>
      <c r="D981" s="3"/>
      <c r="E981" s="3"/>
      <c r="F981" s="3"/>
      <c r="G981" s="3"/>
      <c r="H981" s="3"/>
      <c r="I981" s="3"/>
      <c r="J981" s="3"/>
      <c r="K981" s="3"/>
      <c r="L981" s="3"/>
      <c r="M981" s="3"/>
      <c r="N981" s="3"/>
      <c r="O981" s="3"/>
      <c r="P981" s="3"/>
    </row>
    <row r="982">
      <c r="A982" s="3"/>
      <c r="B982" s="3"/>
      <c r="C982" s="3"/>
      <c r="D982" s="3"/>
      <c r="E982" s="3"/>
      <c r="F982" s="3"/>
      <c r="G982" s="3"/>
      <c r="H982" s="3"/>
      <c r="I982" s="3"/>
      <c r="J982" s="3"/>
      <c r="K982" s="3"/>
      <c r="L982" s="3"/>
      <c r="M982" s="3"/>
      <c r="N982" s="3"/>
      <c r="O982" s="3"/>
      <c r="P982" s="3"/>
    </row>
    <row r="983">
      <c r="A983" s="3"/>
      <c r="B983" s="3"/>
      <c r="C983" s="3"/>
      <c r="D983" s="3"/>
      <c r="E983" s="3"/>
      <c r="F983" s="3"/>
      <c r="G983" s="3"/>
      <c r="H983" s="3"/>
      <c r="I983" s="3"/>
      <c r="J983" s="3"/>
      <c r="K983" s="3"/>
      <c r="L983" s="3"/>
      <c r="M983" s="3"/>
      <c r="N983" s="3"/>
      <c r="O983" s="3"/>
      <c r="P983" s="3"/>
    </row>
    <row r="984">
      <c r="A984" s="3"/>
      <c r="B984" s="3"/>
      <c r="C984" s="3"/>
      <c r="D984" s="3"/>
      <c r="E984" s="3"/>
      <c r="F984" s="3"/>
      <c r="G984" s="3"/>
      <c r="H984" s="3"/>
      <c r="I984" s="3"/>
      <c r="J984" s="3"/>
      <c r="K984" s="3"/>
      <c r="L984" s="3"/>
      <c r="M984" s="3"/>
      <c r="N984" s="3"/>
      <c r="O984" s="3"/>
      <c r="P984" s="3"/>
    </row>
    <row r="985">
      <c r="A985" s="3"/>
      <c r="B985" s="3"/>
      <c r="C985" s="3"/>
      <c r="D985" s="3"/>
      <c r="E985" s="3"/>
      <c r="F985" s="3"/>
      <c r="G985" s="3"/>
      <c r="H985" s="3"/>
      <c r="I985" s="3"/>
      <c r="J985" s="3"/>
      <c r="K985" s="3"/>
      <c r="L985" s="3"/>
      <c r="M985" s="3"/>
      <c r="N985" s="3"/>
      <c r="O985" s="3"/>
      <c r="P985" s="3"/>
    </row>
    <row r="986">
      <c r="A986" s="3"/>
      <c r="B986" s="3"/>
      <c r="C986" s="3"/>
      <c r="D986" s="3"/>
      <c r="E986" s="3"/>
      <c r="F986" s="3"/>
      <c r="G986" s="3"/>
      <c r="H986" s="3"/>
      <c r="I986" s="3"/>
      <c r="J986" s="3"/>
      <c r="K986" s="3"/>
      <c r="L986" s="3"/>
      <c r="M986" s="3"/>
      <c r="N986" s="3"/>
      <c r="O986" s="3"/>
      <c r="P986" s="3"/>
    </row>
    <row r="987">
      <c r="A987" s="3"/>
      <c r="B987" s="3"/>
      <c r="C987" s="3"/>
      <c r="D987" s="3"/>
      <c r="E987" s="3"/>
      <c r="F987" s="3"/>
      <c r="G987" s="3"/>
      <c r="H987" s="3"/>
      <c r="I987" s="3"/>
      <c r="J987" s="3"/>
      <c r="K987" s="3"/>
      <c r="L987" s="3"/>
      <c r="M987" s="3"/>
      <c r="N987" s="3"/>
      <c r="O987" s="3"/>
      <c r="P987" s="3"/>
    </row>
    <row r="988">
      <c r="A988" s="3"/>
      <c r="B988" s="3"/>
      <c r="C988" s="3"/>
      <c r="D988" s="3"/>
      <c r="E988" s="3"/>
      <c r="F988" s="3"/>
      <c r="G988" s="3"/>
      <c r="H988" s="3"/>
      <c r="I988" s="3"/>
      <c r="J988" s="3"/>
      <c r="K988" s="3"/>
      <c r="L988" s="3"/>
      <c r="M988" s="3"/>
      <c r="N988" s="3"/>
      <c r="O988" s="3"/>
      <c r="P988" s="3"/>
    </row>
    <row r="989">
      <c r="A989" s="3"/>
      <c r="B989" s="3"/>
      <c r="C989" s="3"/>
      <c r="D989" s="3"/>
      <c r="E989" s="3"/>
      <c r="F989" s="3"/>
      <c r="G989" s="3"/>
      <c r="H989" s="3"/>
      <c r="I989" s="3"/>
      <c r="J989" s="3"/>
      <c r="K989" s="3"/>
      <c r="L989" s="3"/>
      <c r="M989" s="3"/>
      <c r="N989" s="3"/>
      <c r="O989" s="3"/>
      <c r="P989" s="3"/>
    </row>
    <row r="990">
      <c r="A990" s="3"/>
      <c r="B990" s="3"/>
      <c r="C990" s="3"/>
      <c r="D990" s="3"/>
      <c r="E990" s="3"/>
      <c r="F990" s="3"/>
      <c r="G990" s="3"/>
      <c r="H990" s="3"/>
      <c r="I990" s="3"/>
      <c r="J990" s="3"/>
      <c r="K990" s="3"/>
      <c r="L990" s="3"/>
      <c r="M990" s="3"/>
      <c r="N990" s="3"/>
      <c r="O990" s="3"/>
      <c r="P990" s="3"/>
    </row>
    <row r="991">
      <c r="A991" s="3"/>
      <c r="B991" s="3"/>
      <c r="C991" s="3"/>
      <c r="D991" s="3"/>
      <c r="E991" s="3"/>
      <c r="F991" s="3"/>
      <c r="G991" s="3"/>
      <c r="H991" s="3"/>
      <c r="I991" s="3"/>
      <c r="J991" s="3"/>
      <c r="K991" s="3"/>
      <c r="L991" s="3"/>
      <c r="M991" s="3"/>
      <c r="N991" s="3"/>
      <c r="O991" s="3"/>
      <c r="P991" s="3"/>
    </row>
    <row r="992">
      <c r="A992" s="3"/>
      <c r="B992" s="3"/>
      <c r="C992" s="3"/>
      <c r="D992" s="3"/>
      <c r="E992" s="3"/>
      <c r="F992" s="3"/>
      <c r="G992" s="3"/>
      <c r="H992" s="3"/>
      <c r="I992" s="3"/>
      <c r="J992" s="3"/>
      <c r="K992" s="3"/>
      <c r="L992" s="3"/>
      <c r="M992" s="3"/>
      <c r="N992" s="3"/>
      <c r="O992" s="3"/>
      <c r="P992" s="3"/>
    </row>
    <row r="993">
      <c r="A993" s="3"/>
      <c r="B993" s="3"/>
      <c r="C993" s="3"/>
      <c r="D993" s="3"/>
      <c r="E993" s="3"/>
      <c r="F993" s="3"/>
      <c r="G993" s="3"/>
      <c r="H993" s="3"/>
      <c r="I993" s="3"/>
      <c r="J993" s="3"/>
      <c r="K993" s="3"/>
      <c r="L993" s="3"/>
      <c r="M993" s="3"/>
      <c r="N993" s="3"/>
      <c r="O993" s="3"/>
      <c r="P993" s="3"/>
    </row>
    <row r="994">
      <c r="A994" s="3"/>
      <c r="B994" s="3"/>
      <c r="C994" s="3"/>
      <c r="D994" s="3"/>
      <c r="E994" s="3"/>
      <c r="F994" s="3"/>
      <c r="G994" s="3"/>
      <c r="H994" s="3"/>
      <c r="I994" s="3"/>
      <c r="J994" s="3"/>
      <c r="K994" s="3"/>
      <c r="L994" s="3"/>
      <c r="M994" s="3"/>
      <c r="N994" s="3"/>
      <c r="O994" s="3"/>
      <c r="P994" s="3"/>
    </row>
    <row r="995">
      <c r="A995" s="3"/>
      <c r="B995" s="3"/>
      <c r="C995" s="3"/>
      <c r="D995" s="3"/>
      <c r="E995" s="3"/>
      <c r="F995" s="3"/>
      <c r="G995" s="3"/>
      <c r="H995" s="3"/>
      <c r="I995" s="3"/>
      <c r="J995" s="3"/>
      <c r="K995" s="3"/>
      <c r="L995" s="3"/>
      <c r="M995" s="3"/>
      <c r="N995" s="3"/>
      <c r="O995" s="3"/>
      <c r="P995" s="3"/>
    </row>
    <row r="996">
      <c r="A996" s="3"/>
      <c r="B996" s="3"/>
      <c r="C996" s="3"/>
      <c r="D996" s="3"/>
      <c r="E996" s="3"/>
      <c r="F996" s="3"/>
      <c r="G996" s="3"/>
      <c r="H996" s="3"/>
      <c r="I996" s="3"/>
      <c r="J996" s="3"/>
      <c r="K996" s="3"/>
      <c r="L996" s="3"/>
      <c r="M996" s="3"/>
      <c r="N996" s="3"/>
      <c r="O996" s="3"/>
      <c r="P996" s="3"/>
    </row>
    <row r="997">
      <c r="A997" s="3"/>
      <c r="B997" s="3"/>
      <c r="C997" s="3"/>
      <c r="D997" s="3"/>
      <c r="E997" s="3"/>
      <c r="F997" s="3"/>
      <c r="G997" s="3"/>
      <c r="H997" s="3"/>
      <c r="I997" s="3"/>
      <c r="J997" s="3"/>
      <c r="K997" s="3"/>
      <c r="L997" s="3"/>
      <c r="M997" s="3"/>
      <c r="N997" s="3"/>
      <c r="O997" s="3"/>
      <c r="P997" s="3"/>
    </row>
    <row r="998">
      <c r="A998" s="3"/>
      <c r="B998" s="3"/>
      <c r="C998" s="3"/>
      <c r="D998" s="3"/>
      <c r="E998" s="3"/>
      <c r="F998" s="3"/>
      <c r="G998" s="3"/>
      <c r="H998" s="3"/>
      <c r="I998" s="3"/>
      <c r="J998" s="3"/>
      <c r="K998" s="3"/>
      <c r="L998" s="3"/>
      <c r="M998" s="3"/>
      <c r="N998" s="3"/>
      <c r="O998" s="3"/>
      <c r="P998" s="3"/>
    </row>
    <row r="999">
      <c r="A999" s="3"/>
      <c r="B999" s="3"/>
      <c r="C999" s="3"/>
      <c r="D999" s="3"/>
      <c r="E999" s="3"/>
      <c r="F999" s="3"/>
      <c r="G999" s="3"/>
      <c r="H999" s="3"/>
      <c r="I999" s="3"/>
      <c r="J999" s="3"/>
      <c r="K999" s="3"/>
      <c r="L999" s="3"/>
      <c r="M999" s="3"/>
      <c r="N999" s="3"/>
      <c r="O999" s="3"/>
      <c r="P999" s="3"/>
    </row>
    <row r="1000">
      <c r="A1000" s="3"/>
      <c r="B1000" s="3"/>
      <c r="C1000" s="3"/>
      <c r="D1000" s="3"/>
      <c r="E1000" s="3"/>
      <c r="F1000" s="3"/>
      <c r="G1000" s="3"/>
      <c r="H1000" s="3"/>
      <c r="I1000" s="3"/>
      <c r="J1000" s="3"/>
      <c r="K1000" s="3"/>
      <c r="L1000" s="3"/>
      <c r="M1000" s="3"/>
      <c r="N1000" s="3"/>
      <c r="O1000" s="3"/>
      <c r="P1000"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0.13"/>
    <col customWidth="1" min="3" max="3" width="28.13"/>
    <col customWidth="1" min="4" max="4" width="12.0"/>
  </cols>
  <sheetData>
    <row r="1">
      <c r="A1" s="2" t="s">
        <v>40</v>
      </c>
      <c r="B1" s="2" t="s">
        <v>1351</v>
      </c>
      <c r="C1" s="2" t="s">
        <v>1352</v>
      </c>
      <c r="D1" s="2" t="s">
        <v>1353</v>
      </c>
      <c r="E1" s="2" t="s">
        <v>1354</v>
      </c>
    </row>
    <row r="2">
      <c r="A2" s="9" t="s">
        <v>1355</v>
      </c>
      <c r="B2" s="9" t="s">
        <v>1357</v>
      </c>
      <c r="C2" s="9" t="s">
        <v>1358</v>
      </c>
      <c r="D2" s="9" t="b">
        <v>0</v>
      </c>
      <c r="E2" s="9" t="b">
        <v>1</v>
      </c>
    </row>
    <row r="3">
      <c r="A3" s="9" t="s">
        <v>1359</v>
      </c>
      <c r="B3" s="9" t="s">
        <v>1357</v>
      </c>
      <c r="C3" s="9" t="s">
        <v>1360</v>
      </c>
      <c r="D3" s="9" t="b">
        <v>0</v>
      </c>
      <c r="E3" s="9" t="b">
        <v>1</v>
      </c>
    </row>
    <row r="4">
      <c r="A4" s="9" t="s">
        <v>1361</v>
      </c>
      <c r="B4" s="9" t="s">
        <v>1362</v>
      </c>
      <c r="C4" s="9" t="s">
        <v>1363</v>
      </c>
      <c r="D4" s="9" t="b">
        <v>0</v>
      </c>
      <c r="E4" s="9" t="b">
        <v>1</v>
      </c>
    </row>
    <row r="5">
      <c r="A5" s="9" t="s">
        <v>1364</v>
      </c>
      <c r="B5" s="9" t="s">
        <v>1362</v>
      </c>
      <c r="C5" s="9" t="s">
        <v>1365</v>
      </c>
      <c r="D5" s="9" t="b">
        <v>0</v>
      </c>
      <c r="E5" s="9" t="b">
        <v>1</v>
      </c>
    </row>
    <row r="6">
      <c r="A6" s="9" t="s">
        <v>1366</v>
      </c>
      <c r="B6" s="9" t="s">
        <v>1362</v>
      </c>
      <c r="C6" s="9" t="s">
        <v>1367</v>
      </c>
      <c r="D6" s="9" t="b">
        <v>0</v>
      </c>
      <c r="E6" s="9" t="b">
        <v>1</v>
      </c>
    </row>
    <row r="7">
      <c r="A7" s="9" t="s">
        <v>1368</v>
      </c>
      <c r="B7" s="9" t="s">
        <v>1362</v>
      </c>
      <c r="C7" s="9" t="s">
        <v>1369</v>
      </c>
      <c r="D7" s="9" t="b">
        <v>0</v>
      </c>
      <c r="E7" s="9" t="b">
        <v>1</v>
      </c>
    </row>
    <row r="8">
      <c r="A8" s="9" t="s">
        <v>1370</v>
      </c>
      <c r="B8" s="9" t="s">
        <v>1371</v>
      </c>
      <c r="C8" s="9" t="s">
        <v>1372</v>
      </c>
      <c r="D8" s="9" t="b">
        <v>1</v>
      </c>
      <c r="E8" s="9" t="b">
        <v>1</v>
      </c>
    </row>
    <row r="9">
      <c r="A9" s="9" t="s">
        <v>1374</v>
      </c>
      <c r="B9" s="9" t="s">
        <v>1371</v>
      </c>
      <c r="C9" s="9" t="s">
        <v>1375</v>
      </c>
      <c r="D9" s="9" t="b">
        <v>0</v>
      </c>
      <c r="E9" s="9" t="b">
        <v>1</v>
      </c>
    </row>
    <row r="10">
      <c r="A10" s="9" t="s">
        <v>1376</v>
      </c>
      <c r="B10" s="9" t="s">
        <v>1371</v>
      </c>
      <c r="C10" s="9" t="s">
        <v>1377</v>
      </c>
      <c r="D10" s="9" t="b">
        <v>1</v>
      </c>
      <c r="E10" s="9" t="b">
        <v>1</v>
      </c>
    </row>
    <row r="11">
      <c r="A11" s="9" t="s">
        <v>1378</v>
      </c>
      <c r="B11" s="9" t="s">
        <v>1371</v>
      </c>
      <c r="C11" s="9" t="s">
        <v>1379</v>
      </c>
      <c r="D11" s="9" t="b">
        <v>1</v>
      </c>
      <c r="E11" s="9" t="b">
        <v>1</v>
      </c>
    </row>
    <row r="12">
      <c r="A12" s="9" t="s">
        <v>1380</v>
      </c>
      <c r="B12" s="9" t="s">
        <v>1381</v>
      </c>
      <c r="C12" s="9" t="s">
        <v>1382</v>
      </c>
      <c r="D12" s="9" t="b">
        <v>1</v>
      </c>
      <c r="E12" s="9" t="b">
        <v>1</v>
      </c>
    </row>
    <row r="13">
      <c r="A13" s="9" t="s">
        <v>1383</v>
      </c>
      <c r="B13" s="9" t="s">
        <v>1381</v>
      </c>
      <c r="C13" s="9" t="s">
        <v>1384</v>
      </c>
      <c r="D13" s="9" t="b">
        <v>1</v>
      </c>
      <c r="E13" s="9" t="b">
        <v>1</v>
      </c>
    </row>
    <row r="14">
      <c r="A14" s="9" t="s">
        <v>1385</v>
      </c>
      <c r="B14" s="9" t="s">
        <v>1381</v>
      </c>
      <c r="C14" s="9" t="s">
        <v>1386</v>
      </c>
      <c r="D14" s="9" t="b">
        <v>1</v>
      </c>
      <c r="E14" s="9" t="b">
        <v>1</v>
      </c>
    </row>
    <row r="15">
      <c r="A15" s="9" t="s">
        <v>1388</v>
      </c>
      <c r="B15" s="9" t="s">
        <v>1389</v>
      </c>
      <c r="C15" s="9" t="s">
        <v>1390</v>
      </c>
      <c r="D15" s="9" t="b">
        <v>0</v>
      </c>
      <c r="E15" s="9" t="b">
        <v>1</v>
      </c>
    </row>
    <row r="16">
      <c r="A16" s="9" t="s">
        <v>1392</v>
      </c>
      <c r="B16" s="9" t="s">
        <v>1389</v>
      </c>
      <c r="C16" s="9" t="s">
        <v>1393</v>
      </c>
      <c r="D16" s="9" t="b">
        <v>0</v>
      </c>
      <c r="E16" s="9" t="b">
        <v>1</v>
      </c>
    </row>
    <row r="17">
      <c r="A17" s="9" t="s">
        <v>1394</v>
      </c>
      <c r="B17" s="9" t="s">
        <v>1395</v>
      </c>
      <c r="C17" s="9" t="s">
        <v>1396</v>
      </c>
      <c r="D17" s="9" t="b">
        <v>1</v>
      </c>
      <c r="E17" s="9" t="b">
        <v>1</v>
      </c>
    </row>
    <row r="18">
      <c r="A18" s="9" t="s">
        <v>1397</v>
      </c>
      <c r="B18" s="9" t="s">
        <v>1395</v>
      </c>
      <c r="C18" s="9" t="s">
        <v>1398</v>
      </c>
      <c r="D18" s="9" t="b">
        <v>1</v>
      </c>
      <c r="E18" s="9" t="b">
        <v>1</v>
      </c>
    </row>
    <row r="19">
      <c r="A19" s="9" t="s">
        <v>1399</v>
      </c>
      <c r="B19" s="9" t="s">
        <v>1395</v>
      </c>
      <c r="C19" s="9" t="s">
        <v>1400</v>
      </c>
      <c r="D19" s="9" t="b">
        <v>1</v>
      </c>
      <c r="E19" s="9" t="b">
        <v>1</v>
      </c>
    </row>
    <row r="20">
      <c r="A20" s="9" t="s">
        <v>1401</v>
      </c>
      <c r="B20" s="9" t="s">
        <v>1395</v>
      </c>
      <c r="C20" s="9" t="s">
        <v>1402</v>
      </c>
      <c r="D20" s="9" t="b">
        <v>0</v>
      </c>
      <c r="E20" s="9" t="b">
        <v>1</v>
      </c>
    </row>
    <row r="21">
      <c r="A21" s="9" t="s">
        <v>1403</v>
      </c>
      <c r="B21" s="9" t="s">
        <v>1404</v>
      </c>
      <c r="C21" s="9" t="s">
        <v>1405</v>
      </c>
      <c r="D21" s="9" t="b">
        <v>1</v>
      </c>
      <c r="E21" s="9" t="b">
        <v>1</v>
      </c>
    </row>
    <row r="22">
      <c r="A22" s="9" t="s">
        <v>1407</v>
      </c>
      <c r="B22" s="9" t="s">
        <v>1404</v>
      </c>
      <c r="C22" s="9" t="s">
        <v>1408</v>
      </c>
      <c r="D22" s="9" t="b">
        <v>1</v>
      </c>
      <c r="E22" s="9" t="b">
        <v>1</v>
      </c>
    </row>
    <row r="23">
      <c r="A23" s="9" t="s">
        <v>1409</v>
      </c>
      <c r="B23" s="9" t="s">
        <v>1404</v>
      </c>
      <c r="C23" s="9" t="s">
        <v>1410</v>
      </c>
      <c r="D23" s="9" t="b">
        <v>1</v>
      </c>
      <c r="E23" s="9" t="b">
        <v>1</v>
      </c>
    </row>
    <row r="24">
      <c r="A24" s="9" t="s">
        <v>1411</v>
      </c>
      <c r="B24" s="9" t="s">
        <v>1412</v>
      </c>
      <c r="C24" s="9" t="s">
        <v>1413</v>
      </c>
      <c r="D24" s="9" t="b">
        <v>0</v>
      </c>
      <c r="E24" s="9" t="b">
        <v>1</v>
      </c>
    </row>
    <row r="25">
      <c r="A25" s="9" t="s">
        <v>1414</v>
      </c>
      <c r="B25" s="9" t="s">
        <v>1412</v>
      </c>
      <c r="C25" s="9" t="s">
        <v>1415</v>
      </c>
      <c r="D25" s="9" t="b">
        <v>0</v>
      </c>
      <c r="E25" s="9" t="b">
        <v>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hidden="1" min="7" max="7" width="12.63"/>
    <col customWidth="1" hidden="1" min="8" max="8" width="20.88"/>
    <col customWidth="1" min="15" max="15" width="2.63"/>
    <col customWidth="1" min="16" max="16" width="15.88"/>
    <col customWidth="1" min="19" max="19" width="43.38"/>
  </cols>
  <sheetData>
    <row r="1">
      <c r="A1" s="51" t="s">
        <v>1421</v>
      </c>
      <c r="B1" s="52"/>
      <c r="C1" s="53" t="s">
        <v>1423</v>
      </c>
      <c r="D1" s="53" t="s">
        <v>1424</v>
      </c>
      <c r="E1" s="54" t="s">
        <v>1425</v>
      </c>
      <c r="F1" s="55"/>
      <c r="G1" s="55"/>
      <c r="H1" s="56"/>
      <c r="I1" s="53" t="s">
        <v>1426</v>
      </c>
      <c r="J1" s="53" t="s">
        <v>1427</v>
      </c>
      <c r="K1" s="53" t="s">
        <v>1428</v>
      </c>
      <c r="L1" s="53" t="s">
        <v>1430</v>
      </c>
      <c r="M1" s="53" t="s">
        <v>1431</v>
      </c>
      <c r="N1" s="53" t="s">
        <v>1432</v>
      </c>
      <c r="O1" s="20"/>
      <c r="P1" s="57" t="s">
        <v>1421</v>
      </c>
      <c r="Q1" s="57" t="s">
        <v>1433</v>
      </c>
      <c r="R1" s="57" t="s">
        <v>1436</v>
      </c>
      <c r="S1" s="57" t="s">
        <v>1437</v>
      </c>
      <c r="T1" s="20"/>
      <c r="U1" s="20"/>
      <c r="V1" s="20"/>
      <c r="W1" s="20"/>
    </row>
    <row r="2">
      <c r="A2" s="58"/>
      <c r="B2" s="59"/>
      <c r="C2" s="45"/>
      <c r="D2" s="45"/>
      <c r="E2" s="60" t="s">
        <v>530</v>
      </c>
      <c r="F2" s="60" t="s">
        <v>1438</v>
      </c>
      <c r="G2" s="60" t="s">
        <v>1439</v>
      </c>
      <c r="H2" s="60" t="s">
        <v>1440</v>
      </c>
      <c r="I2" s="45"/>
      <c r="J2" s="45"/>
      <c r="K2" s="45"/>
      <c r="L2" s="45"/>
      <c r="M2" s="45"/>
      <c r="N2" s="45"/>
      <c r="O2" s="20"/>
      <c r="P2" s="61" t="s">
        <v>1441</v>
      </c>
      <c r="Q2" s="62">
        <v>2.0</v>
      </c>
      <c r="R2" s="61" t="s">
        <v>86</v>
      </c>
      <c r="S2" s="63" t="s">
        <v>1442</v>
      </c>
      <c r="T2" s="20"/>
      <c r="U2" s="20"/>
      <c r="V2" s="20"/>
      <c r="W2" s="20"/>
    </row>
    <row r="3">
      <c r="A3" s="64" t="s">
        <v>1116</v>
      </c>
      <c r="B3" s="64" t="s">
        <v>569</v>
      </c>
      <c r="C3" s="65" t="s">
        <v>1441</v>
      </c>
      <c r="D3" s="65" t="s">
        <v>1444</v>
      </c>
      <c r="E3" s="65" t="s">
        <v>880</v>
      </c>
      <c r="F3" s="65" t="s">
        <v>75</v>
      </c>
      <c r="G3" s="65" t="s">
        <v>1445</v>
      </c>
      <c r="H3" s="65" t="s">
        <v>1446</v>
      </c>
      <c r="I3" s="65" t="s">
        <v>1447</v>
      </c>
      <c r="J3" s="66">
        <v>45473.0</v>
      </c>
      <c r="K3" s="67">
        <f t="shared" ref="K3:K40" si="1">VLOOKUP(C3,$P$1:$S$13,2,0)</f>
        <v>2</v>
      </c>
      <c r="L3" s="66">
        <v>46203.0</v>
      </c>
      <c r="M3" s="68">
        <v>50000.0</v>
      </c>
      <c r="N3" s="69"/>
      <c r="O3" s="20"/>
      <c r="P3" s="61" t="s">
        <v>1450</v>
      </c>
      <c r="Q3" s="62">
        <v>2.0</v>
      </c>
      <c r="R3" s="61" t="s">
        <v>86</v>
      </c>
      <c r="S3" s="63" t="s">
        <v>1452</v>
      </c>
      <c r="T3" s="20"/>
      <c r="U3" s="20"/>
      <c r="V3" s="20"/>
      <c r="W3" s="20"/>
    </row>
    <row r="4">
      <c r="A4" s="42"/>
      <c r="B4" s="42"/>
      <c r="C4" s="70" t="s">
        <v>1441</v>
      </c>
      <c r="D4" s="70" t="s">
        <v>1453</v>
      </c>
      <c r="E4" s="70" t="s">
        <v>880</v>
      </c>
      <c r="F4" s="70" t="s">
        <v>83</v>
      </c>
      <c r="G4" s="70" t="s">
        <v>1454</v>
      </c>
      <c r="H4" s="70" t="s">
        <v>1455</v>
      </c>
      <c r="I4" s="70" t="s">
        <v>1447</v>
      </c>
      <c r="J4" s="66">
        <v>45719.0</v>
      </c>
      <c r="K4" s="67">
        <f t="shared" si="1"/>
        <v>2</v>
      </c>
      <c r="L4" s="71">
        <f>IFERROR(DATE(YEAR(J4)+K4, MONTH(J4), DAY(J4)-1),"-")</f>
        <v>46448</v>
      </c>
      <c r="M4" s="72">
        <v>50000.0</v>
      </c>
      <c r="N4" s="69"/>
      <c r="O4" s="20"/>
      <c r="P4" s="61" t="s">
        <v>1457</v>
      </c>
      <c r="Q4" s="62">
        <v>2.0</v>
      </c>
      <c r="R4" s="61" t="s">
        <v>1459</v>
      </c>
      <c r="S4" s="63" t="s">
        <v>1460</v>
      </c>
      <c r="T4" s="20"/>
      <c r="U4" s="20"/>
      <c r="V4" s="20"/>
      <c r="W4" s="20"/>
    </row>
    <row r="5">
      <c r="A5" s="42"/>
      <c r="B5" s="42"/>
      <c r="C5" s="65" t="s">
        <v>1450</v>
      </c>
      <c r="D5" s="65" t="s">
        <v>1461</v>
      </c>
      <c r="E5" s="65" t="s">
        <v>880</v>
      </c>
      <c r="F5" s="65" t="s">
        <v>1462</v>
      </c>
      <c r="G5" s="65" t="s">
        <v>1463</v>
      </c>
      <c r="H5" s="65" t="s">
        <v>1464</v>
      </c>
      <c r="I5" s="65" t="s">
        <v>1465</v>
      </c>
      <c r="J5" s="66">
        <v>45458.0</v>
      </c>
      <c r="K5" s="67">
        <f t="shared" si="1"/>
        <v>2</v>
      </c>
      <c r="L5" s="66">
        <v>46187.0</v>
      </c>
      <c r="M5" s="68">
        <v>50000.0</v>
      </c>
      <c r="N5" s="69"/>
      <c r="O5" s="20"/>
      <c r="P5" s="61" t="s">
        <v>1467</v>
      </c>
      <c r="Q5" s="62">
        <v>2.0</v>
      </c>
      <c r="R5" s="61" t="s">
        <v>1468</v>
      </c>
      <c r="S5" s="63" t="s">
        <v>1469</v>
      </c>
      <c r="T5" s="20"/>
      <c r="U5" s="20"/>
      <c r="V5" s="20"/>
      <c r="W5" s="20"/>
    </row>
    <row r="6">
      <c r="A6" s="42"/>
      <c r="B6" s="42"/>
      <c r="C6" s="70" t="s">
        <v>1467</v>
      </c>
      <c r="D6" s="70" t="s">
        <v>1470</v>
      </c>
      <c r="E6" s="70" t="s">
        <v>596</v>
      </c>
      <c r="F6" s="70" t="s">
        <v>697</v>
      </c>
      <c r="G6" s="70" t="s">
        <v>1472</v>
      </c>
      <c r="H6" s="70" t="s">
        <v>1473</v>
      </c>
      <c r="I6" s="70" t="s">
        <v>1474</v>
      </c>
      <c r="J6" s="73">
        <v>45967.0</v>
      </c>
      <c r="K6" s="67">
        <f t="shared" si="1"/>
        <v>2</v>
      </c>
      <c r="L6" s="74">
        <f t="shared" ref="L6:L9" si="2">IFERROR(DATE(YEAR(J6)+K6, MONTH(J6), DAY(J6)-1),"-")</f>
        <v>46696</v>
      </c>
      <c r="M6" s="72">
        <v>50000.0</v>
      </c>
      <c r="N6" s="69"/>
      <c r="O6" s="20"/>
      <c r="P6" s="61" t="s">
        <v>1476</v>
      </c>
      <c r="Q6" s="62">
        <v>2.0</v>
      </c>
      <c r="R6" s="61" t="s">
        <v>1477</v>
      </c>
      <c r="S6" s="63" t="s">
        <v>1478</v>
      </c>
      <c r="T6" s="20"/>
      <c r="U6" s="20"/>
      <c r="V6" s="20"/>
      <c r="W6" s="20"/>
    </row>
    <row r="7">
      <c r="A7" s="42"/>
      <c r="B7" s="42"/>
      <c r="C7" s="70" t="s">
        <v>1476</v>
      </c>
      <c r="D7" s="70" t="s">
        <v>1479</v>
      </c>
      <c r="E7" s="70" t="s">
        <v>975</v>
      </c>
      <c r="F7" s="65" t="s">
        <v>986</v>
      </c>
      <c r="G7" s="70" t="s">
        <v>1480</v>
      </c>
      <c r="H7" s="70" t="s">
        <v>1482</v>
      </c>
      <c r="I7" s="70" t="s">
        <v>1483</v>
      </c>
      <c r="J7" s="73">
        <v>46017.0</v>
      </c>
      <c r="K7" s="67">
        <f t="shared" si="1"/>
        <v>2</v>
      </c>
      <c r="L7" s="74">
        <f t="shared" si="2"/>
        <v>46746</v>
      </c>
      <c r="M7" s="72">
        <v>50000.0</v>
      </c>
      <c r="N7" s="69"/>
      <c r="O7" s="20"/>
      <c r="P7" s="61" t="s">
        <v>1484</v>
      </c>
      <c r="Q7" s="62">
        <v>2.0</v>
      </c>
      <c r="R7" s="61" t="s">
        <v>1477</v>
      </c>
      <c r="S7" s="63" t="s">
        <v>1485</v>
      </c>
      <c r="T7" s="20"/>
      <c r="U7" s="20"/>
      <c r="V7" s="20"/>
      <c r="W7" s="20"/>
    </row>
    <row r="8">
      <c r="A8" s="42"/>
      <c r="B8" s="42"/>
      <c r="C8" s="70" t="s">
        <v>1487</v>
      </c>
      <c r="D8" s="70" t="s">
        <v>1488</v>
      </c>
      <c r="E8" s="70" t="s">
        <v>1007</v>
      </c>
      <c r="F8" s="70" t="s">
        <v>1015</v>
      </c>
      <c r="G8" s="70" t="s">
        <v>1489</v>
      </c>
      <c r="H8" s="70" t="s">
        <v>1490</v>
      </c>
      <c r="I8" s="70" t="s">
        <v>1491</v>
      </c>
      <c r="J8" s="74">
        <v>45838.0</v>
      </c>
      <c r="K8" s="67">
        <f t="shared" si="1"/>
        <v>2</v>
      </c>
      <c r="L8" s="74">
        <f t="shared" si="2"/>
        <v>46567</v>
      </c>
      <c r="M8" s="72">
        <v>30000.0</v>
      </c>
      <c r="N8" s="69"/>
      <c r="O8" s="20"/>
      <c r="P8" s="61" t="s">
        <v>1487</v>
      </c>
      <c r="Q8" s="62">
        <v>2.0</v>
      </c>
      <c r="R8" s="61" t="s">
        <v>1477</v>
      </c>
      <c r="S8" s="63" t="s">
        <v>1493</v>
      </c>
      <c r="T8" s="20"/>
      <c r="U8" s="20"/>
      <c r="V8" s="20"/>
      <c r="W8" s="20"/>
    </row>
    <row r="9">
      <c r="A9" s="42"/>
      <c r="B9" s="42"/>
      <c r="C9" s="70" t="s">
        <v>1487</v>
      </c>
      <c r="D9" s="70" t="s">
        <v>1494</v>
      </c>
      <c r="E9" s="70" t="s">
        <v>1007</v>
      </c>
      <c r="F9" s="70" t="s">
        <v>1016</v>
      </c>
      <c r="G9" s="70" t="s">
        <v>1495</v>
      </c>
      <c r="H9" s="70" t="s">
        <v>1496</v>
      </c>
      <c r="I9" s="70" t="s">
        <v>1447</v>
      </c>
      <c r="J9" s="74">
        <v>45838.0</v>
      </c>
      <c r="K9" s="67">
        <f t="shared" si="1"/>
        <v>2</v>
      </c>
      <c r="L9" s="74">
        <f t="shared" si="2"/>
        <v>46567</v>
      </c>
      <c r="M9" s="72">
        <v>30000.0</v>
      </c>
      <c r="N9" s="69"/>
      <c r="O9" s="20"/>
      <c r="P9" s="61" t="s">
        <v>1498</v>
      </c>
      <c r="Q9" s="62">
        <v>3.0</v>
      </c>
      <c r="R9" s="61" t="s">
        <v>1499</v>
      </c>
      <c r="S9" s="63" t="s">
        <v>1500</v>
      </c>
      <c r="T9" s="20"/>
      <c r="U9" s="20"/>
      <c r="V9" s="20"/>
      <c r="W9" s="20"/>
    </row>
    <row r="10">
      <c r="A10" s="42"/>
      <c r="B10" s="42"/>
      <c r="C10" s="65" t="s">
        <v>1498</v>
      </c>
      <c r="D10" s="75">
        <v>45966.0</v>
      </c>
      <c r="E10" s="65" t="s">
        <v>1502</v>
      </c>
      <c r="F10" s="65" t="s">
        <v>1032</v>
      </c>
      <c r="G10" s="65" t="s">
        <v>1503</v>
      </c>
      <c r="H10" s="65" t="s">
        <v>1504</v>
      </c>
      <c r="I10" s="65" t="s">
        <v>1505</v>
      </c>
      <c r="J10" s="73">
        <v>45080.0</v>
      </c>
      <c r="K10" s="67">
        <f t="shared" si="1"/>
        <v>3</v>
      </c>
      <c r="L10" s="73">
        <v>46175.0</v>
      </c>
      <c r="M10" s="68">
        <v>50000.0</v>
      </c>
      <c r="N10" s="69"/>
      <c r="O10" s="20"/>
      <c r="P10" s="61" t="s">
        <v>1507</v>
      </c>
      <c r="Q10" s="62">
        <v>3.0</v>
      </c>
      <c r="R10" s="61" t="s">
        <v>1508</v>
      </c>
      <c r="S10" s="63" t="s">
        <v>1509</v>
      </c>
      <c r="T10" s="20"/>
      <c r="U10" s="20"/>
      <c r="V10" s="20"/>
      <c r="W10" s="20"/>
    </row>
    <row r="11">
      <c r="A11" s="42"/>
      <c r="B11" s="42"/>
      <c r="C11" s="65" t="s">
        <v>1510</v>
      </c>
      <c r="D11" s="65" t="s">
        <v>1511</v>
      </c>
      <c r="E11" s="65" t="s">
        <v>728</v>
      </c>
      <c r="F11" s="65" t="s">
        <v>747</v>
      </c>
      <c r="G11" s="65" t="s">
        <v>1512</v>
      </c>
      <c r="H11" s="65" t="s">
        <v>1513</v>
      </c>
      <c r="I11" s="65" t="s">
        <v>1514</v>
      </c>
      <c r="J11" s="75">
        <v>45006.0</v>
      </c>
      <c r="K11" s="67">
        <f t="shared" si="1"/>
        <v>3</v>
      </c>
      <c r="L11" s="73">
        <v>46203.0</v>
      </c>
      <c r="M11" s="68">
        <v>50000.0</v>
      </c>
      <c r="N11" s="65" t="s">
        <v>1516</v>
      </c>
      <c r="O11" s="20"/>
      <c r="P11" s="61" t="s">
        <v>1510</v>
      </c>
      <c r="Q11" s="76">
        <v>3.0</v>
      </c>
      <c r="R11" s="61" t="s">
        <v>1517</v>
      </c>
      <c r="S11" s="63" t="s">
        <v>1518</v>
      </c>
      <c r="T11" s="20"/>
      <c r="U11" s="20"/>
      <c r="V11" s="20"/>
      <c r="W11" s="20"/>
    </row>
    <row r="12">
      <c r="A12" s="42"/>
      <c r="B12" s="42"/>
      <c r="C12" s="70" t="s">
        <v>1510</v>
      </c>
      <c r="D12" s="70" t="s">
        <v>1520</v>
      </c>
      <c r="E12" s="70" t="s">
        <v>884</v>
      </c>
      <c r="F12" s="70" t="s">
        <v>892</v>
      </c>
      <c r="G12" s="70" t="s">
        <v>1521</v>
      </c>
      <c r="H12" s="70" t="s">
        <v>1522</v>
      </c>
      <c r="I12" s="70" t="s">
        <v>1491</v>
      </c>
      <c r="J12" s="75">
        <v>45412.0</v>
      </c>
      <c r="K12" s="67">
        <f t="shared" si="1"/>
        <v>3</v>
      </c>
      <c r="L12" s="74">
        <f t="shared" ref="L12:L13" si="3">IFERROR(DATE(YEAR(J12)+K12, MONTH(J12), DAY(J12)-1),"-")</f>
        <v>46506</v>
      </c>
      <c r="M12" s="72">
        <v>50000.0</v>
      </c>
      <c r="N12" s="65" t="s">
        <v>1525</v>
      </c>
      <c r="O12" s="20"/>
      <c r="P12" s="61" t="s">
        <v>1526</v>
      </c>
      <c r="Q12" s="62">
        <v>3.0</v>
      </c>
      <c r="R12" s="61" t="s">
        <v>1517</v>
      </c>
      <c r="S12" s="63" t="s">
        <v>1518</v>
      </c>
      <c r="T12" s="20"/>
      <c r="U12" s="20"/>
      <c r="V12" s="20"/>
      <c r="W12" s="20"/>
    </row>
    <row r="13">
      <c r="A13" s="42"/>
      <c r="B13" s="45"/>
      <c r="C13" s="70" t="s">
        <v>1527</v>
      </c>
      <c r="D13" s="70" t="s">
        <v>1529</v>
      </c>
      <c r="E13" s="70" t="s">
        <v>975</v>
      </c>
      <c r="F13" s="70" t="s">
        <v>1003</v>
      </c>
      <c r="G13" s="70" t="s">
        <v>1530</v>
      </c>
      <c r="H13" s="70" t="s">
        <v>1531</v>
      </c>
      <c r="I13" s="65" t="s">
        <v>1532</v>
      </c>
      <c r="J13" s="73">
        <v>45974.0</v>
      </c>
      <c r="K13" s="67">
        <f t="shared" si="1"/>
        <v>3</v>
      </c>
      <c r="L13" s="74">
        <f t="shared" si="3"/>
        <v>47069</v>
      </c>
      <c r="M13" s="70" t="s">
        <v>1535</v>
      </c>
      <c r="N13" s="70"/>
      <c r="O13" s="20"/>
      <c r="P13" s="61" t="s">
        <v>1527</v>
      </c>
      <c r="Q13" s="62">
        <v>3.0</v>
      </c>
      <c r="R13" s="77"/>
      <c r="S13" s="77"/>
      <c r="T13" s="20"/>
      <c r="U13" s="20"/>
      <c r="V13" s="20"/>
      <c r="W13" s="20"/>
    </row>
    <row r="14">
      <c r="A14" s="42"/>
      <c r="B14" s="64" t="s">
        <v>1121</v>
      </c>
      <c r="C14" s="70" t="s">
        <v>1484</v>
      </c>
      <c r="D14" s="70" t="s">
        <v>1470</v>
      </c>
      <c r="E14" s="70" t="s">
        <v>596</v>
      </c>
      <c r="F14" s="65" t="s">
        <v>697</v>
      </c>
      <c r="G14" s="70" t="s">
        <v>1472</v>
      </c>
      <c r="H14" s="70" t="s">
        <v>1473</v>
      </c>
      <c r="I14" s="65" t="s">
        <v>1474</v>
      </c>
      <c r="J14" s="73">
        <v>46094.0</v>
      </c>
      <c r="K14" s="67">
        <f t="shared" si="1"/>
        <v>2</v>
      </c>
      <c r="L14" s="73">
        <v>46825.0</v>
      </c>
      <c r="M14" s="70" t="s">
        <v>1538</v>
      </c>
      <c r="N14" s="70"/>
      <c r="O14" s="20"/>
      <c r="P14" s="20"/>
      <c r="Q14" s="20"/>
      <c r="R14" s="20"/>
      <c r="S14" s="20"/>
      <c r="T14" s="20"/>
      <c r="U14" s="20"/>
      <c r="V14" s="20"/>
      <c r="W14" s="20"/>
    </row>
    <row r="15">
      <c r="A15" s="42"/>
      <c r="B15" s="45"/>
      <c r="C15" s="70" t="s">
        <v>1498</v>
      </c>
      <c r="D15" s="70" t="s">
        <v>1520</v>
      </c>
      <c r="E15" s="70" t="s">
        <v>975</v>
      </c>
      <c r="F15" s="70" t="s">
        <v>990</v>
      </c>
      <c r="G15" s="70" t="s">
        <v>1540</v>
      </c>
      <c r="H15" s="70" t="s">
        <v>1541</v>
      </c>
      <c r="I15" s="70" t="s">
        <v>1505</v>
      </c>
      <c r="J15" s="74">
        <v>45377.0</v>
      </c>
      <c r="K15" s="67">
        <f t="shared" si="1"/>
        <v>3</v>
      </c>
      <c r="L15" s="74">
        <f>IFERROR(DATE(YEAR(J15)+K15, MONTH(J15), DAY(J15)-1),"-")</f>
        <v>46471</v>
      </c>
      <c r="M15" s="72">
        <v>50000.0</v>
      </c>
      <c r="N15" s="70"/>
      <c r="O15" s="20"/>
      <c r="P15" s="20"/>
      <c r="Q15" s="20"/>
      <c r="R15" s="20"/>
      <c r="S15" s="20"/>
      <c r="T15" s="20"/>
      <c r="U15" s="20"/>
      <c r="V15" s="20"/>
      <c r="W15" s="20"/>
    </row>
    <row r="16">
      <c r="A16" s="42"/>
      <c r="B16" s="64" t="s">
        <v>1543</v>
      </c>
      <c r="C16" s="70" t="s">
        <v>1484</v>
      </c>
      <c r="D16" s="70" t="s">
        <v>1544</v>
      </c>
      <c r="E16" s="70" t="s">
        <v>1545</v>
      </c>
      <c r="F16" s="70" t="s">
        <v>1547</v>
      </c>
      <c r="G16" s="70" t="s">
        <v>1548</v>
      </c>
      <c r="H16" s="70" t="s">
        <v>1549</v>
      </c>
      <c r="I16" s="78" t="s">
        <v>222</v>
      </c>
      <c r="J16" s="78" t="s">
        <v>222</v>
      </c>
      <c r="K16" s="67">
        <f t="shared" si="1"/>
        <v>2</v>
      </c>
      <c r="L16" s="78" t="s">
        <v>222</v>
      </c>
      <c r="M16" s="70" t="s">
        <v>1550</v>
      </c>
      <c r="N16" s="70"/>
      <c r="O16" s="20"/>
      <c r="P16" s="20"/>
      <c r="Q16" s="20"/>
      <c r="R16" s="20"/>
      <c r="S16" s="20"/>
      <c r="T16" s="20"/>
      <c r="U16" s="20"/>
      <c r="V16" s="20"/>
      <c r="W16" s="20"/>
    </row>
    <row r="17">
      <c r="A17" s="45"/>
      <c r="B17" s="45"/>
      <c r="C17" s="70" t="s">
        <v>1498</v>
      </c>
      <c r="D17" s="70" t="s">
        <v>1552</v>
      </c>
      <c r="E17" s="70" t="s">
        <v>1545</v>
      </c>
      <c r="F17" s="70" t="s">
        <v>1547</v>
      </c>
      <c r="G17" s="70" t="s">
        <v>1548</v>
      </c>
      <c r="H17" s="70" t="s">
        <v>1549</v>
      </c>
      <c r="I17" s="78" t="s">
        <v>222</v>
      </c>
      <c r="J17" s="78" t="s">
        <v>222</v>
      </c>
      <c r="K17" s="67">
        <f t="shared" si="1"/>
        <v>3</v>
      </c>
      <c r="L17" s="78" t="s">
        <v>222</v>
      </c>
      <c r="M17" s="70" t="s">
        <v>1550</v>
      </c>
      <c r="N17" s="70"/>
      <c r="O17" s="20"/>
      <c r="P17" s="20"/>
      <c r="Q17" s="20"/>
      <c r="R17" s="20"/>
      <c r="S17" s="20"/>
      <c r="T17" s="20"/>
      <c r="U17" s="20"/>
      <c r="V17" s="20"/>
      <c r="W17" s="20"/>
    </row>
    <row r="18">
      <c r="A18" s="79" t="s">
        <v>1118</v>
      </c>
      <c r="B18" s="64" t="s">
        <v>1554</v>
      </c>
      <c r="C18" s="70" t="s">
        <v>1441</v>
      </c>
      <c r="D18" s="80">
        <v>44999.0</v>
      </c>
      <c r="E18" s="70" t="s">
        <v>880</v>
      </c>
      <c r="F18" s="65" t="s">
        <v>72</v>
      </c>
      <c r="G18" s="70" t="s">
        <v>1556</v>
      </c>
      <c r="H18" s="65" t="s">
        <v>1557</v>
      </c>
      <c r="I18" s="70" t="s">
        <v>1447</v>
      </c>
      <c r="J18" s="74">
        <v>45798.0</v>
      </c>
      <c r="K18" s="67">
        <f t="shared" si="1"/>
        <v>2</v>
      </c>
      <c r="L18" s="74">
        <f t="shared" ref="L18:L26" si="4">IFERROR(DATE(YEAR(J18)+K18, MONTH(J18), DAY(J18)-1),"-")</f>
        <v>46527</v>
      </c>
      <c r="M18" s="72">
        <v>50000.0</v>
      </c>
      <c r="N18" s="80"/>
      <c r="O18" s="20"/>
      <c r="P18" s="20"/>
      <c r="Q18" s="81"/>
      <c r="R18" s="20"/>
      <c r="S18" s="20"/>
      <c r="T18" s="20"/>
      <c r="U18" s="20"/>
      <c r="V18" s="20"/>
      <c r="W18" s="20"/>
    </row>
    <row r="19">
      <c r="A19" s="42"/>
      <c r="B19" s="42"/>
      <c r="C19" s="70" t="s">
        <v>1450</v>
      </c>
      <c r="D19" s="80">
        <v>45536.0</v>
      </c>
      <c r="E19" s="70" t="s">
        <v>1558</v>
      </c>
      <c r="F19" s="65" t="s">
        <v>1559</v>
      </c>
      <c r="G19" s="70" t="s">
        <v>1560</v>
      </c>
      <c r="H19" s="70" t="s">
        <v>1561</v>
      </c>
      <c r="I19" s="70" t="s">
        <v>1465</v>
      </c>
      <c r="J19" s="74" t="s">
        <v>222</v>
      </c>
      <c r="K19" s="67">
        <f t="shared" si="1"/>
        <v>2</v>
      </c>
      <c r="L19" s="74" t="str">
        <f t="shared" si="4"/>
        <v>-</v>
      </c>
      <c r="M19" s="70" t="s">
        <v>1562</v>
      </c>
      <c r="N19" s="70"/>
      <c r="O19" s="20"/>
      <c r="P19" s="20"/>
      <c r="Q19" s="20"/>
      <c r="R19" s="20"/>
      <c r="S19" s="20"/>
      <c r="T19" s="20"/>
      <c r="U19" s="20"/>
      <c r="V19" s="20"/>
      <c r="W19" s="20"/>
    </row>
    <row r="20">
      <c r="A20" s="42"/>
      <c r="B20" s="42"/>
      <c r="C20" s="70" t="s">
        <v>1467</v>
      </c>
      <c r="D20" s="80">
        <v>43047.0</v>
      </c>
      <c r="E20" s="70" t="s">
        <v>1563</v>
      </c>
      <c r="F20" s="70" t="s">
        <v>1564</v>
      </c>
      <c r="G20" s="70" t="s">
        <v>1565</v>
      </c>
      <c r="H20" s="70" t="s">
        <v>1566</v>
      </c>
      <c r="I20" s="70" t="s">
        <v>1474</v>
      </c>
      <c r="J20" s="74">
        <v>45827.0</v>
      </c>
      <c r="K20" s="67">
        <f t="shared" si="1"/>
        <v>2</v>
      </c>
      <c r="L20" s="74">
        <f t="shared" si="4"/>
        <v>46556</v>
      </c>
      <c r="M20" s="72">
        <v>50000.0</v>
      </c>
      <c r="N20" s="70"/>
      <c r="O20" s="20"/>
      <c r="P20" s="20"/>
      <c r="Q20" s="81"/>
      <c r="R20" s="20"/>
      <c r="S20" s="20"/>
      <c r="T20" s="20"/>
      <c r="U20" s="20"/>
      <c r="V20" s="20"/>
      <c r="W20" s="20"/>
    </row>
    <row r="21">
      <c r="A21" s="42"/>
      <c r="B21" s="42"/>
      <c r="C21" s="70" t="s">
        <v>1484</v>
      </c>
      <c r="D21" s="80">
        <v>45628.0</v>
      </c>
      <c r="E21" s="70" t="s">
        <v>880</v>
      </c>
      <c r="F21" s="70" t="s">
        <v>72</v>
      </c>
      <c r="G21" s="70" t="s">
        <v>1556</v>
      </c>
      <c r="H21" s="65" t="s">
        <v>1568</v>
      </c>
      <c r="I21" s="70" t="s">
        <v>1483</v>
      </c>
      <c r="J21" s="73">
        <v>45671.0</v>
      </c>
      <c r="K21" s="67">
        <f t="shared" si="1"/>
        <v>2</v>
      </c>
      <c r="L21" s="74">
        <f t="shared" si="4"/>
        <v>46400</v>
      </c>
      <c r="M21" s="70" t="s">
        <v>1538</v>
      </c>
      <c r="N21" s="80"/>
      <c r="O21" s="20"/>
      <c r="P21" s="20"/>
      <c r="Q21" s="82"/>
      <c r="R21" s="20"/>
      <c r="S21" s="20"/>
      <c r="T21" s="20"/>
      <c r="U21" s="20"/>
      <c r="V21" s="20"/>
      <c r="W21" s="20"/>
    </row>
    <row r="22">
      <c r="A22" s="42"/>
      <c r="B22" s="42"/>
      <c r="C22" s="70" t="s">
        <v>1487</v>
      </c>
      <c r="D22" s="80">
        <v>43329.0</v>
      </c>
      <c r="E22" s="70" t="s">
        <v>1502</v>
      </c>
      <c r="F22" s="70" t="s">
        <v>1180</v>
      </c>
      <c r="G22" s="70" t="s">
        <v>1569</v>
      </c>
      <c r="H22" s="70" t="s">
        <v>1570</v>
      </c>
      <c r="I22" s="70" t="s">
        <v>1532</v>
      </c>
      <c r="J22" s="74">
        <v>45681.0</v>
      </c>
      <c r="K22" s="67">
        <f t="shared" si="1"/>
        <v>2</v>
      </c>
      <c r="L22" s="74">
        <f t="shared" si="4"/>
        <v>46410</v>
      </c>
      <c r="M22" s="72">
        <v>30000.0</v>
      </c>
      <c r="N22" s="70"/>
      <c r="O22" s="20"/>
      <c r="P22" s="20"/>
      <c r="Q22" s="20"/>
      <c r="R22" s="20"/>
      <c r="S22" s="20"/>
      <c r="T22" s="20"/>
      <c r="U22" s="20"/>
      <c r="V22" s="20"/>
      <c r="W22" s="20"/>
    </row>
    <row r="23">
      <c r="A23" s="42"/>
      <c r="B23" s="42"/>
      <c r="C23" s="70" t="s">
        <v>1487</v>
      </c>
      <c r="D23" s="80">
        <v>44960.0</v>
      </c>
      <c r="E23" s="70" t="s">
        <v>1571</v>
      </c>
      <c r="F23" s="70" t="s">
        <v>1572</v>
      </c>
      <c r="G23" s="70" t="s">
        <v>1573</v>
      </c>
      <c r="H23" s="70" t="s">
        <v>1574</v>
      </c>
      <c r="I23" s="70" t="s">
        <v>1532</v>
      </c>
      <c r="J23" s="74">
        <v>45827.0</v>
      </c>
      <c r="K23" s="67">
        <f t="shared" si="1"/>
        <v>2</v>
      </c>
      <c r="L23" s="74">
        <f t="shared" si="4"/>
        <v>46556</v>
      </c>
      <c r="M23" s="72">
        <v>30000.0</v>
      </c>
      <c r="N23" s="70"/>
      <c r="O23" s="20"/>
      <c r="P23" s="20"/>
      <c r="Q23" s="20"/>
      <c r="R23" s="20"/>
      <c r="S23" s="20"/>
      <c r="T23" s="20"/>
      <c r="U23" s="20"/>
      <c r="V23" s="20"/>
      <c r="W23" s="20"/>
    </row>
    <row r="24">
      <c r="A24" s="42"/>
      <c r="B24" s="42"/>
      <c r="C24" s="70" t="s">
        <v>1487</v>
      </c>
      <c r="D24" s="80">
        <v>42074.0</v>
      </c>
      <c r="E24" s="70" t="s">
        <v>1571</v>
      </c>
      <c r="F24" s="70" t="s">
        <v>1140</v>
      </c>
      <c r="G24" s="70" t="s">
        <v>1575</v>
      </c>
      <c r="H24" s="70" t="s">
        <v>1576</v>
      </c>
      <c r="I24" s="70" t="s">
        <v>1532</v>
      </c>
      <c r="J24" s="74">
        <v>45930.0</v>
      </c>
      <c r="K24" s="67">
        <f t="shared" si="1"/>
        <v>2</v>
      </c>
      <c r="L24" s="74">
        <f t="shared" si="4"/>
        <v>46659</v>
      </c>
      <c r="M24" s="72">
        <v>30000.0</v>
      </c>
      <c r="N24" s="70"/>
      <c r="O24" s="20"/>
      <c r="P24" s="20"/>
      <c r="Q24" s="20"/>
      <c r="R24" s="20"/>
      <c r="S24" s="20"/>
      <c r="T24" s="20"/>
      <c r="U24" s="20"/>
      <c r="V24" s="20"/>
      <c r="W24" s="20"/>
    </row>
    <row r="25">
      <c r="A25" s="42"/>
      <c r="B25" s="42"/>
      <c r="C25" s="70" t="s">
        <v>1498</v>
      </c>
      <c r="D25" s="80">
        <v>41479.0</v>
      </c>
      <c r="E25" s="70" t="s">
        <v>1502</v>
      </c>
      <c r="F25" s="70" t="s">
        <v>1200</v>
      </c>
      <c r="G25" s="70" t="s">
        <v>1577</v>
      </c>
      <c r="H25" s="70" t="s">
        <v>1578</v>
      </c>
      <c r="I25" s="70" t="s">
        <v>1505</v>
      </c>
      <c r="J25" s="74">
        <v>45707.0</v>
      </c>
      <c r="K25" s="67">
        <f t="shared" si="1"/>
        <v>3</v>
      </c>
      <c r="L25" s="74">
        <f t="shared" si="4"/>
        <v>46801</v>
      </c>
      <c r="M25" s="72">
        <v>50000.0</v>
      </c>
      <c r="N25" s="70"/>
      <c r="O25" s="20"/>
      <c r="P25" s="20"/>
      <c r="Q25" s="20"/>
      <c r="R25" s="20"/>
      <c r="S25" s="20"/>
      <c r="T25" s="20"/>
      <c r="U25" s="20"/>
      <c r="V25" s="20"/>
      <c r="W25" s="20"/>
    </row>
    <row r="26">
      <c r="A26" s="42"/>
      <c r="B26" s="42"/>
      <c r="C26" s="70" t="s">
        <v>1507</v>
      </c>
      <c r="D26" s="80">
        <v>45453.0</v>
      </c>
      <c r="E26" s="70" t="s">
        <v>925</v>
      </c>
      <c r="F26" s="70" t="s">
        <v>945</v>
      </c>
      <c r="G26" s="70" t="s">
        <v>1579</v>
      </c>
      <c r="H26" s="70" t="s">
        <v>1580</v>
      </c>
      <c r="I26" s="70" t="s">
        <v>1514</v>
      </c>
      <c r="J26" s="74">
        <v>45604.0</v>
      </c>
      <c r="K26" s="67">
        <f t="shared" si="1"/>
        <v>3</v>
      </c>
      <c r="L26" s="74">
        <f t="shared" si="4"/>
        <v>46698</v>
      </c>
      <c r="M26" s="72">
        <v>50000.0</v>
      </c>
      <c r="N26" s="65" t="s">
        <v>1516</v>
      </c>
      <c r="O26" s="20"/>
      <c r="P26" s="20"/>
      <c r="Q26" s="20"/>
      <c r="R26" s="20"/>
      <c r="S26" s="20"/>
      <c r="T26" s="20"/>
      <c r="U26" s="20"/>
      <c r="V26" s="20"/>
      <c r="W26" s="20"/>
    </row>
    <row r="27">
      <c r="A27" s="42"/>
      <c r="B27" s="45"/>
      <c r="C27" s="65" t="s">
        <v>1526</v>
      </c>
      <c r="D27" s="83">
        <v>45063.0</v>
      </c>
      <c r="E27" s="65" t="s">
        <v>880</v>
      </c>
      <c r="F27" s="65" t="s">
        <v>72</v>
      </c>
      <c r="G27" s="65" t="s">
        <v>1556</v>
      </c>
      <c r="H27" s="65" t="s">
        <v>1581</v>
      </c>
      <c r="I27" s="65" t="s">
        <v>1582</v>
      </c>
      <c r="J27" s="73">
        <v>45175.0</v>
      </c>
      <c r="K27" s="67">
        <f t="shared" si="1"/>
        <v>3</v>
      </c>
      <c r="L27" s="73">
        <v>46270.0</v>
      </c>
      <c r="M27" s="65" t="s">
        <v>1538</v>
      </c>
      <c r="N27" s="65" t="s">
        <v>1525</v>
      </c>
      <c r="O27" s="20"/>
      <c r="P27" s="20"/>
      <c r="Q27" s="20"/>
      <c r="R27" s="20"/>
      <c r="S27" s="20"/>
      <c r="T27" s="20"/>
      <c r="U27" s="20"/>
      <c r="V27" s="20"/>
      <c r="W27" s="20"/>
    </row>
    <row r="28">
      <c r="A28" s="42"/>
      <c r="B28" s="64" t="s">
        <v>724</v>
      </c>
      <c r="C28" s="70" t="s">
        <v>1467</v>
      </c>
      <c r="D28" s="80">
        <v>45758.0</v>
      </c>
      <c r="E28" s="70" t="s">
        <v>880</v>
      </c>
      <c r="F28" s="70" t="s">
        <v>72</v>
      </c>
      <c r="G28" s="70" t="s">
        <v>1556</v>
      </c>
      <c r="H28" s="70" t="s">
        <v>1581</v>
      </c>
      <c r="I28" s="70" t="s">
        <v>1474</v>
      </c>
      <c r="J28" s="74">
        <v>45805.0</v>
      </c>
      <c r="K28" s="67">
        <f t="shared" si="1"/>
        <v>2</v>
      </c>
      <c r="L28" s="74">
        <f t="shared" ref="L28:L33" si="5">IFERROR(DATE(YEAR(J28)+K28, MONTH(J28), DAY(J28)-1),"-")</f>
        <v>46534</v>
      </c>
      <c r="M28" s="70" t="s">
        <v>1538</v>
      </c>
      <c r="N28" s="80"/>
      <c r="O28" s="20"/>
      <c r="P28" s="20"/>
      <c r="Q28" s="20"/>
      <c r="R28" s="20"/>
      <c r="S28" s="20"/>
      <c r="T28" s="20"/>
      <c r="U28" s="20"/>
      <c r="V28" s="20"/>
      <c r="W28" s="20"/>
    </row>
    <row r="29">
      <c r="A29" s="42"/>
      <c r="B29" s="42"/>
      <c r="C29" s="70" t="s">
        <v>1498</v>
      </c>
      <c r="D29" s="80">
        <v>42074.0</v>
      </c>
      <c r="E29" s="70" t="s">
        <v>1502</v>
      </c>
      <c r="F29" s="70" t="s">
        <v>1140</v>
      </c>
      <c r="G29" s="70" t="s">
        <v>1575</v>
      </c>
      <c r="H29" s="70" t="s">
        <v>1576</v>
      </c>
      <c r="I29" s="70" t="s">
        <v>1505</v>
      </c>
      <c r="J29" s="74">
        <v>45615.0</v>
      </c>
      <c r="K29" s="67">
        <f t="shared" si="1"/>
        <v>3</v>
      </c>
      <c r="L29" s="74">
        <f t="shared" si="5"/>
        <v>46709</v>
      </c>
      <c r="M29" s="72">
        <v>50000.0</v>
      </c>
      <c r="N29" s="70"/>
      <c r="O29" s="20"/>
      <c r="P29" s="20"/>
      <c r="Q29" s="20"/>
      <c r="R29" s="20"/>
      <c r="S29" s="20"/>
      <c r="T29" s="20"/>
      <c r="U29" s="20"/>
      <c r="V29" s="20"/>
      <c r="W29" s="20"/>
    </row>
    <row r="30">
      <c r="A30" s="42"/>
      <c r="B30" s="45"/>
      <c r="C30" s="70" t="s">
        <v>1484</v>
      </c>
      <c r="D30" s="80">
        <v>44960.0</v>
      </c>
      <c r="E30" s="70" t="s">
        <v>1588</v>
      </c>
      <c r="F30" s="70" t="s">
        <v>1564</v>
      </c>
      <c r="G30" s="70" t="s">
        <v>1565</v>
      </c>
      <c r="H30" s="70" t="s">
        <v>1566</v>
      </c>
      <c r="I30" s="70" t="s">
        <v>1474</v>
      </c>
      <c r="J30" s="74">
        <v>45735.0</v>
      </c>
      <c r="K30" s="67">
        <f t="shared" si="1"/>
        <v>2</v>
      </c>
      <c r="L30" s="74">
        <f t="shared" si="5"/>
        <v>46464</v>
      </c>
      <c r="M30" s="70" t="s">
        <v>1538</v>
      </c>
      <c r="N30" s="70"/>
      <c r="O30" s="20"/>
      <c r="P30" s="20"/>
      <c r="Q30" s="20"/>
      <c r="R30" s="20"/>
      <c r="S30" s="20"/>
      <c r="T30" s="20"/>
      <c r="U30" s="20"/>
      <c r="V30" s="20"/>
      <c r="W30" s="20"/>
    </row>
    <row r="31">
      <c r="A31" s="42"/>
      <c r="B31" s="64" t="s">
        <v>1590</v>
      </c>
      <c r="C31" s="70" t="s">
        <v>1484</v>
      </c>
      <c r="D31" s="80">
        <v>42074.0</v>
      </c>
      <c r="E31" s="70" t="s">
        <v>1571</v>
      </c>
      <c r="F31" s="70" t="s">
        <v>1200</v>
      </c>
      <c r="G31" s="70" t="s">
        <v>1577</v>
      </c>
      <c r="H31" s="70" t="s">
        <v>1578</v>
      </c>
      <c r="I31" s="70" t="s">
        <v>1532</v>
      </c>
      <c r="J31" s="74">
        <v>45810.0</v>
      </c>
      <c r="K31" s="67">
        <f t="shared" si="1"/>
        <v>2</v>
      </c>
      <c r="L31" s="74">
        <f t="shared" si="5"/>
        <v>46539</v>
      </c>
      <c r="M31" s="70" t="s">
        <v>1538</v>
      </c>
      <c r="N31" s="70"/>
      <c r="O31" s="20"/>
      <c r="P31" s="20"/>
      <c r="Q31" s="20"/>
      <c r="R31" s="20"/>
      <c r="S31" s="20"/>
      <c r="T31" s="20"/>
      <c r="U31" s="20"/>
      <c r="V31" s="20"/>
      <c r="W31" s="20"/>
    </row>
    <row r="32">
      <c r="A32" s="45"/>
      <c r="B32" s="45"/>
      <c r="C32" s="70" t="s">
        <v>1498</v>
      </c>
      <c r="D32" s="80">
        <v>41479.0</v>
      </c>
      <c r="E32" s="70" t="s">
        <v>1593</v>
      </c>
      <c r="F32" s="70" t="s">
        <v>1594</v>
      </c>
      <c r="G32" s="70" t="s">
        <v>222</v>
      </c>
      <c r="H32" s="70" t="s">
        <v>222</v>
      </c>
      <c r="I32" s="70" t="s">
        <v>1505</v>
      </c>
      <c r="J32" s="74" t="s">
        <v>222</v>
      </c>
      <c r="K32" s="67">
        <f t="shared" si="1"/>
        <v>3</v>
      </c>
      <c r="L32" s="74" t="str">
        <f t="shared" si="5"/>
        <v>-</v>
      </c>
      <c r="M32" s="70" t="s">
        <v>1550</v>
      </c>
      <c r="N32" s="70"/>
      <c r="O32" s="20"/>
      <c r="P32" s="20"/>
      <c r="Q32" s="20"/>
      <c r="R32" s="20"/>
      <c r="S32" s="20"/>
      <c r="T32" s="20"/>
      <c r="U32" s="20"/>
      <c r="V32" s="20"/>
      <c r="W32" s="20"/>
    </row>
    <row r="33">
      <c r="A33" s="84" t="s">
        <v>1077</v>
      </c>
      <c r="B33" s="52"/>
      <c r="C33" s="70" t="s">
        <v>1484</v>
      </c>
      <c r="D33" s="65" t="s">
        <v>222</v>
      </c>
      <c r="E33" s="70" t="s">
        <v>1596</v>
      </c>
      <c r="F33" s="70" t="s">
        <v>1597</v>
      </c>
      <c r="G33" s="70" t="s">
        <v>222</v>
      </c>
      <c r="H33" s="70" t="s">
        <v>222</v>
      </c>
      <c r="I33" s="70" t="s">
        <v>222</v>
      </c>
      <c r="J33" s="74" t="s">
        <v>222</v>
      </c>
      <c r="K33" s="67">
        <f t="shared" si="1"/>
        <v>2</v>
      </c>
      <c r="L33" s="74" t="str">
        <f t="shared" si="5"/>
        <v>-</v>
      </c>
      <c r="M33" s="65" t="s">
        <v>1562</v>
      </c>
      <c r="N33" s="70"/>
      <c r="O33" s="20"/>
      <c r="P33" s="20"/>
      <c r="Q33" s="20"/>
      <c r="R33" s="20"/>
      <c r="S33" s="20"/>
      <c r="T33" s="20"/>
      <c r="U33" s="20"/>
      <c r="V33" s="20"/>
      <c r="W33" s="20"/>
    </row>
    <row r="34">
      <c r="A34" s="58"/>
      <c r="B34" s="59"/>
      <c r="C34" s="65" t="s">
        <v>1498</v>
      </c>
      <c r="D34" s="75">
        <v>45966.0</v>
      </c>
      <c r="E34" s="65" t="s">
        <v>1434</v>
      </c>
      <c r="F34" s="65" t="s">
        <v>1486</v>
      </c>
      <c r="G34" s="65" t="s">
        <v>1600</v>
      </c>
      <c r="H34" s="65" t="s">
        <v>1601</v>
      </c>
      <c r="I34" s="65" t="s">
        <v>1505</v>
      </c>
      <c r="J34" s="73">
        <v>45087.0</v>
      </c>
      <c r="K34" s="67">
        <f t="shared" si="1"/>
        <v>3</v>
      </c>
      <c r="L34" s="73">
        <v>46183.0</v>
      </c>
      <c r="M34" s="68">
        <v>50000.0</v>
      </c>
      <c r="N34" s="70"/>
      <c r="O34" s="20"/>
      <c r="P34" s="20"/>
      <c r="Q34" s="20"/>
      <c r="R34" s="20"/>
      <c r="S34" s="20"/>
      <c r="T34" s="20"/>
      <c r="U34" s="20"/>
      <c r="V34" s="20"/>
      <c r="W34" s="20"/>
    </row>
    <row r="35">
      <c r="A35" s="84" t="s">
        <v>1128</v>
      </c>
      <c r="B35" s="52"/>
      <c r="C35" s="70" t="s">
        <v>1484</v>
      </c>
      <c r="D35" s="70" t="s">
        <v>1603</v>
      </c>
      <c r="E35" s="70" t="s">
        <v>714</v>
      </c>
      <c r="F35" s="65" t="s">
        <v>857</v>
      </c>
      <c r="G35" s="70" t="s">
        <v>1604</v>
      </c>
      <c r="H35" s="70" t="s">
        <v>1605</v>
      </c>
      <c r="I35" s="70" t="s">
        <v>1532</v>
      </c>
      <c r="J35" s="73">
        <v>46063.0</v>
      </c>
      <c r="K35" s="67">
        <f t="shared" si="1"/>
        <v>2</v>
      </c>
      <c r="L35" s="73">
        <v>46795.0</v>
      </c>
      <c r="M35" s="72">
        <v>50000.0</v>
      </c>
      <c r="N35" s="70"/>
      <c r="O35" s="20"/>
      <c r="P35" s="20"/>
      <c r="Q35" s="20"/>
      <c r="R35" s="20"/>
      <c r="S35" s="20"/>
      <c r="T35" s="20"/>
      <c r="U35" s="20"/>
      <c r="V35" s="20"/>
      <c r="W35" s="20"/>
    </row>
    <row r="36">
      <c r="A36" s="58"/>
      <c r="B36" s="59"/>
      <c r="C36" s="70" t="s">
        <v>1498</v>
      </c>
      <c r="D36" s="65" t="s">
        <v>222</v>
      </c>
      <c r="E36" s="70" t="s">
        <v>1607</v>
      </c>
      <c r="F36" s="70" t="s">
        <v>1608</v>
      </c>
      <c r="G36" s="70" t="s">
        <v>1575</v>
      </c>
      <c r="H36" s="70" t="s">
        <v>1576</v>
      </c>
      <c r="I36" s="70" t="s">
        <v>222</v>
      </c>
      <c r="J36" s="74" t="s">
        <v>222</v>
      </c>
      <c r="K36" s="67">
        <f t="shared" si="1"/>
        <v>3</v>
      </c>
      <c r="L36" s="74" t="str">
        <f t="shared" ref="L36:L37" si="6">IFERROR(DATE(YEAR(J36)+K36, MONTH(J36), DAY(J36)-1),"-")</f>
        <v>-</v>
      </c>
      <c r="M36" s="70" t="s">
        <v>1562</v>
      </c>
      <c r="N36" s="69"/>
      <c r="O36" s="20"/>
      <c r="P36" s="20"/>
      <c r="Q36" s="20"/>
      <c r="R36" s="20"/>
      <c r="S36" s="20"/>
      <c r="T36" s="20"/>
      <c r="U36" s="20"/>
      <c r="V36" s="20"/>
      <c r="W36" s="20"/>
    </row>
    <row r="37">
      <c r="A37" s="84" t="s">
        <v>1609</v>
      </c>
      <c r="B37" s="52"/>
      <c r="C37" s="70" t="s">
        <v>1484</v>
      </c>
      <c r="D37" s="70" t="s">
        <v>1610</v>
      </c>
      <c r="E37" s="70" t="s">
        <v>1502</v>
      </c>
      <c r="F37" s="70" t="s">
        <v>855</v>
      </c>
      <c r="G37" s="70" t="s">
        <v>1611</v>
      </c>
      <c r="H37" s="70" t="s">
        <v>1612</v>
      </c>
      <c r="I37" s="70" t="s">
        <v>222</v>
      </c>
      <c r="J37" s="73">
        <v>45677.0</v>
      </c>
      <c r="K37" s="67">
        <f t="shared" si="1"/>
        <v>2</v>
      </c>
      <c r="L37" s="74">
        <f t="shared" si="6"/>
        <v>46406</v>
      </c>
      <c r="M37" s="72">
        <v>50000.0</v>
      </c>
      <c r="N37" s="69"/>
      <c r="O37" s="20"/>
      <c r="P37" s="20"/>
      <c r="Q37" s="20"/>
      <c r="R37" s="20"/>
      <c r="S37" s="20"/>
      <c r="T37" s="20"/>
      <c r="U37" s="20"/>
      <c r="V37" s="20"/>
      <c r="W37" s="20"/>
    </row>
    <row r="38">
      <c r="A38" s="85"/>
      <c r="B38" s="86"/>
      <c r="C38" s="70" t="s">
        <v>1467</v>
      </c>
      <c r="D38" s="70" t="s">
        <v>1613</v>
      </c>
      <c r="E38" s="70" t="s">
        <v>1502</v>
      </c>
      <c r="F38" s="65" t="s">
        <v>855</v>
      </c>
      <c r="G38" s="70" t="s">
        <v>1611</v>
      </c>
      <c r="H38" s="70" t="s">
        <v>1612</v>
      </c>
      <c r="I38" s="70" t="s">
        <v>222</v>
      </c>
      <c r="J38" s="73">
        <v>45446.0</v>
      </c>
      <c r="K38" s="67">
        <f t="shared" si="1"/>
        <v>2</v>
      </c>
      <c r="L38" s="73">
        <v>46175.0</v>
      </c>
      <c r="M38" s="70" t="s">
        <v>1538</v>
      </c>
      <c r="N38" s="78"/>
      <c r="O38" s="20"/>
      <c r="P38" s="20"/>
      <c r="Q38" s="20"/>
      <c r="R38" s="20"/>
      <c r="S38" s="20"/>
      <c r="T38" s="20"/>
      <c r="U38" s="20"/>
      <c r="V38" s="20"/>
      <c r="W38" s="20"/>
    </row>
    <row r="39">
      <c r="A39" s="58"/>
      <c r="B39" s="59"/>
      <c r="C39" s="70" t="s">
        <v>1498</v>
      </c>
      <c r="D39" s="70" t="s">
        <v>1614</v>
      </c>
      <c r="E39" s="70" t="s">
        <v>1502</v>
      </c>
      <c r="F39" s="70" t="s">
        <v>855</v>
      </c>
      <c r="G39" s="70" t="s">
        <v>1611</v>
      </c>
      <c r="H39" s="70" t="s">
        <v>1612</v>
      </c>
      <c r="I39" s="70" t="s">
        <v>222</v>
      </c>
      <c r="J39" s="74" t="s">
        <v>222</v>
      </c>
      <c r="K39" s="67">
        <f t="shared" si="1"/>
        <v>3</v>
      </c>
      <c r="L39" s="74" t="str">
        <f t="shared" ref="L39:L40" si="7">IFERROR(DATE(YEAR(J39)+K39, MONTH(J39), DAY(J39)-1),"-")</f>
        <v>-</v>
      </c>
      <c r="M39" s="70" t="s">
        <v>1538</v>
      </c>
      <c r="N39" s="69"/>
      <c r="O39" s="20"/>
      <c r="P39" s="20"/>
      <c r="Q39" s="20"/>
      <c r="R39" s="20"/>
      <c r="S39" s="20"/>
      <c r="T39" s="20"/>
      <c r="U39" s="20"/>
      <c r="V39" s="20"/>
      <c r="W39" s="20"/>
    </row>
    <row r="40">
      <c r="A40" s="87" t="s">
        <v>1615</v>
      </c>
      <c r="B40" s="56"/>
      <c r="C40" s="70" t="s">
        <v>1484</v>
      </c>
      <c r="D40" s="70" t="s">
        <v>1616</v>
      </c>
      <c r="E40" s="70" t="s">
        <v>1617</v>
      </c>
      <c r="F40" s="65" t="s">
        <v>1101</v>
      </c>
      <c r="G40" s="70" t="s">
        <v>1618</v>
      </c>
      <c r="H40" s="70" t="s">
        <v>1619</v>
      </c>
      <c r="I40" s="70" t="s">
        <v>1491</v>
      </c>
      <c r="J40" s="73">
        <v>46052.0</v>
      </c>
      <c r="K40" s="67">
        <f t="shared" si="1"/>
        <v>2</v>
      </c>
      <c r="L40" s="74">
        <f t="shared" si="7"/>
        <v>46781</v>
      </c>
      <c r="M40" s="72">
        <v>50000.0</v>
      </c>
      <c r="N40" s="69"/>
      <c r="O40" s="20"/>
      <c r="P40" s="20"/>
      <c r="Q40" s="20"/>
      <c r="R40" s="20"/>
      <c r="S40" s="20"/>
      <c r="T40" s="20"/>
      <c r="U40" s="20"/>
      <c r="V40" s="20"/>
      <c r="W40" s="20"/>
    </row>
    <row r="41">
      <c r="A41" s="20"/>
      <c r="B41" s="20"/>
      <c r="C41" s="20"/>
      <c r="D41" s="20"/>
      <c r="E41" s="20"/>
      <c r="F41" s="20"/>
      <c r="G41" s="20"/>
      <c r="H41" s="20"/>
      <c r="I41" s="20"/>
      <c r="J41" s="20"/>
      <c r="K41" s="20"/>
      <c r="L41" s="20"/>
      <c r="M41" s="20"/>
      <c r="N41" s="20"/>
      <c r="O41" s="20"/>
      <c r="P41" s="20"/>
      <c r="Q41" s="20"/>
      <c r="R41" s="20"/>
      <c r="S41" s="20"/>
      <c r="T41" s="20"/>
      <c r="U41" s="20"/>
      <c r="V41" s="20"/>
      <c r="W41" s="20"/>
    </row>
    <row r="42">
      <c r="A42" s="20"/>
      <c r="B42" s="20"/>
      <c r="C42" s="20"/>
      <c r="D42" s="20"/>
      <c r="E42" s="20"/>
      <c r="F42" s="20"/>
      <c r="G42" s="20"/>
      <c r="H42" s="20"/>
      <c r="I42" s="20"/>
      <c r="J42" s="20"/>
      <c r="K42" s="20"/>
      <c r="L42" s="20"/>
      <c r="M42" s="20"/>
      <c r="N42" s="20"/>
      <c r="O42" s="20"/>
      <c r="P42" s="20"/>
      <c r="Q42" s="20"/>
      <c r="R42" s="20"/>
      <c r="S42" s="20"/>
      <c r="T42" s="20"/>
      <c r="U42" s="20"/>
      <c r="V42" s="20"/>
      <c r="W42" s="20"/>
    </row>
    <row r="43">
      <c r="A43" s="20"/>
      <c r="B43" s="20"/>
      <c r="C43" s="20"/>
      <c r="D43" s="20"/>
      <c r="E43" s="20"/>
      <c r="F43" s="20"/>
      <c r="G43" s="20"/>
      <c r="H43" s="20"/>
      <c r="I43" s="20"/>
      <c r="J43" s="20"/>
      <c r="K43" s="20"/>
      <c r="L43" s="20"/>
      <c r="M43" s="20"/>
      <c r="N43" s="20"/>
      <c r="O43" s="20"/>
      <c r="P43" s="20"/>
      <c r="Q43" s="20"/>
      <c r="R43" s="20"/>
      <c r="S43" s="20"/>
      <c r="T43" s="20"/>
      <c r="U43" s="20"/>
      <c r="V43" s="20"/>
      <c r="W43" s="20"/>
    </row>
    <row r="44">
      <c r="A44" s="20"/>
      <c r="B44" s="20"/>
      <c r="C44" s="20"/>
      <c r="D44" s="20"/>
      <c r="E44" s="20"/>
      <c r="F44" s="20"/>
      <c r="G44" s="20"/>
      <c r="H44" s="20"/>
      <c r="I44" s="20"/>
      <c r="J44" s="20"/>
      <c r="K44" s="20"/>
      <c r="L44" s="20"/>
      <c r="M44" s="20"/>
      <c r="N44" s="20"/>
      <c r="O44" s="20"/>
      <c r="P44" s="20"/>
      <c r="Q44" s="20"/>
      <c r="R44" s="20"/>
      <c r="S44" s="20"/>
      <c r="T44" s="20"/>
      <c r="U44" s="20"/>
      <c r="V44" s="20"/>
      <c r="W44" s="20"/>
    </row>
    <row r="45">
      <c r="A45" s="20"/>
      <c r="B45" s="20"/>
      <c r="C45" s="20"/>
      <c r="D45" s="20"/>
      <c r="E45" s="20"/>
      <c r="F45" s="20"/>
      <c r="G45" s="20"/>
      <c r="H45" s="20"/>
      <c r="I45" s="20"/>
      <c r="J45" s="20"/>
      <c r="K45" s="20"/>
      <c r="L45" s="20"/>
      <c r="M45" s="20"/>
      <c r="N45" s="20"/>
      <c r="O45" s="20"/>
      <c r="P45" s="20"/>
      <c r="Q45" s="20"/>
      <c r="R45" s="20"/>
      <c r="S45" s="20"/>
      <c r="T45" s="20"/>
      <c r="U45" s="20"/>
      <c r="V45" s="20"/>
      <c r="W45" s="20"/>
    </row>
    <row r="46">
      <c r="A46" s="20"/>
      <c r="B46" s="20"/>
      <c r="C46" s="20"/>
      <c r="D46" s="20"/>
      <c r="E46" s="20"/>
      <c r="F46" s="20"/>
      <c r="G46" s="20"/>
      <c r="H46" s="20"/>
      <c r="I46" s="20"/>
      <c r="J46" s="20"/>
      <c r="K46" s="20"/>
      <c r="L46" s="20"/>
      <c r="M46" s="20"/>
      <c r="N46" s="20"/>
      <c r="O46" s="20"/>
      <c r="P46" s="20"/>
      <c r="Q46" s="20"/>
      <c r="R46" s="20"/>
      <c r="S46" s="20"/>
      <c r="T46" s="20"/>
      <c r="U46" s="20"/>
      <c r="V46" s="20"/>
      <c r="W46" s="20"/>
    </row>
    <row r="47">
      <c r="A47" s="20"/>
      <c r="B47" s="20"/>
      <c r="C47" s="20"/>
      <c r="D47" s="20"/>
      <c r="E47" s="20"/>
      <c r="F47" s="20"/>
      <c r="G47" s="20"/>
      <c r="H47" s="20"/>
      <c r="I47" s="20"/>
      <c r="J47" s="20"/>
      <c r="K47" s="20"/>
      <c r="L47" s="20"/>
      <c r="M47" s="20"/>
      <c r="N47" s="20"/>
      <c r="O47" s="20"/>
      <c r="P47" s="20"/>
      <c r="Q47" s="20"/>
      <c r="R47" s="20"/>
      <c r="S47" s="20"/>
      <c r="T47" s="20"/>
      <c r="U47" s="20"/>
      <c r="V47" s="20"/>
      <c r="W47" s="20"/>
    </row>
    <row r="48">
      <c r="A48" s="20"/>
      <c r="B48" s="20"/>
      <c r="C48" s="20"/>
      <c r="D48" s="20"/>
      <c r="E48" s="20"/>
      <c r="F48" s="20"/>
      <c r="G48" s="20"/>
      <c r="H48" s="20"/>
      <c r="I48" s="20"/>
      <c r="J48" s="20"/>
      <c r="K48" s="20"/>
      <c r="L48" s="20"/>
      <c r="M48" s="20"/>
      <c r="N48" s="20"/>
      <c r="O48" s="20"/>
      <c r="P48" s="20"/>
      <c r="Q48" s="20"/>
      <c r="R48" s="20"/>
      <c r="S48" s="20"/>
      <c r="T48" s="20"/>
      <c r="U48" s="20"/>
      <c r="V48" s="20"/>
      <c r="W48" s="20"/>
    </row>
    <row r="49">
      <c r="A49" s="20"/>
      <c r="B49" s="20"/>
      <c r="C49" s="20"/>
      <c r="D49" s="20"/>
      <c r="E49" s="20"/>
      <c r="F49" s="20"/>
      <c r="G49" s="20"/>
      <c r="H49" s="20"/>
      <c r="I49" s="20"/>
      <c r="J49" s="20"/>
      <c r="K49" s="20"/>
      <c r="L49" s="20"/>
      <c r="M49" s="20"/>
      <c r="N49" s="20"/>
      <c r="O49" s="20"/>
      <c r="P49" s="20"/>
      <c r="Q49" s="20"/>
      <c r="R49" s="20"/>
      <c r="S49" s="20"/>
      <c r="T49" s="20"/>
      <c r="U49" s="20"/>
      <c r="V49" s="20"/>
      <c r="W49" s="20"/>
    </row>
    <row r="50">
      <c r="A50" s="20"/>
      <c r="B50" s="20"/>
      <c r="C50" s="20"/>
      <c r="D50" s="20"/>
      <c r="E50" s="20"/>
      <c r="F50" s="20"/>
      <c r="G50" s="20"/>
      <c r="H50" s="20"/>
      <c r="I50" s="20"/>
      <c r="J50" s="20"/>
      <c r="K50" s="20"/>
      <c r="L50" s="20"/>
      <c r="M50" s="20"/>
      <c r="N50" s="20"/>
      <c r="O50" s="20"/>
      <c r="P50" s="20"/>
      <c r="Q50" s="20"/>
      <c r="R50" s="20"/>
      <c r="S50" s="20"/>
      <c r="T50" s="20"/>
      <c r="U50" s="20"/>
      <c r="V50" s="20"/>
      <c r="W50" s="20"/>
    </row>
    <row r="51">
      <c r="A51" s="20"/>
      <c r="B51" s="20"/>
      <c r="C51" s="20"/>
      <c r="D51" s="20"/>
      <c r="E51" s="20"/>
      <c r="F51" s="20"/>
      <c r="G51" s="20"/>
      <c r="H51" s="20"/>
      <c r="I51" s="20"/>
      <c r="J51" s="20"/>
      <c r="K51" s="20"/>
      <c r="L51" s="20"/>
      <c r="M51" s="20"/>
      <c r="N51" s="20"/>
      <c r="O51" s="20"/>
      <c r="P51" s="20"/>
      <c r="Q51" s="20"/>
      <c r="R51" s="20"/>
      <c r="S51" s="20"/>
      <c r="T51" s="20"/>
      <c r="U51" s="20"/>
      <c r="V51" s="20"/>
      <c r="W51" s="20"/>
    </row>
    <row r="52">
      <c r="A52" s="20"/>
      <c r="B52" s="20"/>
      <c r="C52" s="20"/>
      <c r="D52" s="20"/>
      <c r="E52" s="20"/>
      <c r="F52" s="20"/>
      <c r="G52" s="20"/>
      <c r="H52" s="20"/>
      <c r="I52" s="20"/>
      <c r="J52" s="20"/>
      <c r="K52" s="20"/>
      <c r="L52" s="20"/>
      <c r="M52" s="20"/>
      <c r="N52" s="20"/>
      <c r="O52" s="20"/>
      <c r="P52" s="20"/>
      <c r="Q52" s="20"/>
      <c r="R52" s="20"/>
      <c r="S52" s="20"/>
      <c r="T52" s="20"/>
      <c r="U52" s="20"/>
      <c r="V52" s="20"/>
      <c r="W52" s="20"/>
    </row>
    <row r="53">
      <c r="A53" s="20"/>
      <c r="B53" s="20"/>
      <c r="C53" s="20"/>
      <c r="D53" s="20"/>
      <c r="E53" s="20"/>
      <c r="F53" s="20"/>
      <c r="G53" s="20"/>
      <c r="H53" s="20"/>
      <c r="I53" s="20"/>
      <c r="J53" s="20"/>
      <c r="K53" s="20"/>
      <c r="L53" s="20"/>
      <c r="M53" s="20"/>
      <c r="N53" s="20"/>
      <c r="O53" s="20"/>
      <c r="P53" s="20"/>
      <c r="Q53" s="20"/>
      <c r="R53" s="20"/>
      <c r="S53" s="20"/>
      <c r="T53" s="20"/>
      <c r="U53" s="20"/>
      <c r="V53" s="20"/>
      <c r="W53" s="20"/>
    </row>
    <row r="54">
      <c r="A54" s="20"/>
      <c r="B54" s="20"/>
      <c r="C54" s="20"/>
      <c r="D54" s="20"/>
      <c r="E54" s="20"/>
      <c r="F54" s="20"/>
      <c r="G54" s="20"/>
      <c r="H54" s="20"/>
      <c r="I54" s="20"/>
      <c r="J54" s="20"/>
      <c r="K54" s="20"/>
      <c r="L54" s="20"/>
      <c r="M54" s="20"/>
      <c r="N54" s="20"/>
      <c r="O54" s="20"/>
      <c r="P54" s="20"/>
      <c r="Q54" s="20"/>
      <c r="R54" s="20"/>
      <c r="S54" s="20"/>
      <c r="T54" s="20"/>
      <c r="U54" s="20"/>
      <c r="V54" s="20"/>
      <c r="W54" s="20"/>
    </row>
    <row r="55">
      <c r="A55" s="20"/>
      <c r="B55" s="20"/>
      <c r="C55" s="20"/>
      <c r="D55" s="20"/>
      <c r="E55" s="20"/>
      <c r="F55" s="20"/>
      <c r="G55" s="20"/>
      <c r="H55" s="20"/>
      <c r="I55" s="20"/>
      <c r="J55" s="20"/>
      <c r="K55" s="20"/>
      <c r="L55" s="20"/>
      <c r="M55" s="20"/>
      <c r="N55" s="20"/>
      <c r="O55" s="20"/>
      <c r="P55" s="20"/>
      <c r="Q55" s="20"/>
      <c r="R55" s="20"/>
      <c r="S55" s="20"/>
      <c r="T55" s="20"/>
      <c r="U55" s="20"/>
      <c r="V55" s="20"/>
      <c r="W55" s="20"/>
    </row>
    <row r="56">
      <c r="A56" s="20"/>
      <c r="B56" s="20"/>
      <c r="C56" s="20"/>
      <c r="D56" s="20"/>
      <c r="E56" s="20"/>
      <c r="F56" s="20"/>
      <c r="G56" s="20"/>
      <c r="H56" s="20"/>
      <c r="I56" s="20"/>
      <c r="J56" s="20"/>
      <c r="K56" s="20"/>
      <c r="L56" s="20"/>
      <c r="M56" s="20"/>
      <c r="N56" s="20"/>
      <c r="O56" s="20"/>
      <c r="P56" s="20"/>
      <c r="Q56" s="20"/>
      <c r="R56" s="20"/>
      <c r="S56" s="20"/>
      <c r="T56" s="20"/>
      <c r="U56" s="20"/>
      <c r="V56" s="20"/>
      <c r="W56" s="20"/>
    </row>
    <row r="57">
      <c r="A57" s="20"/>
      <c r="B57" s="20"/>
      <c r="C57" s="20"/>
      <c r="D57" s="20"/>
      <c r="E57" s="20"/>
      <c r="F57" s="20"/>
      <c r="G57" s="20"/>
      <c r="H57" s="20"/>
      <c r="I57" s="20"/>
      <c r="J57" s="20"/>
      <c r="K57" s="20"/>
      <c r="L57" s="20"/>
      <c r="M57" s="20"/>
      <c r="N57" s="20"/>
      <c r="O57" s="20"/>
      <c r="P57" s="20"/>
      <c r="Q57" s="20"/>
      <c r="R57" s="20"/>
      <c r="S57" s="20"/>
      <c r="T57" s="20"/>
      <c r="U57" s="20"/>
      <c r="V57" s="20"/>
      <c r="W57" s="20"/>
    </row>
    <row r="58">
      <c r="A58" s="20"/>
      <c r="B58" s="20"/>
      <c r="C58" s="20"/>
      <c r="D58" s="20"/>
      <c r="E58" s="20"/>
      <c r="F58" s="20"/>
      <c r="G58" s="20"/>
      <c r="H58" s="20"/>
      <c r="I58" s="20"/>
      <c r="J58" s="20"/>
      <c r="K58" s="20"/>
      <c r="L58" s="20"/>
      <c r="M58" s="20"/>
      <c r="N58" s="20"/>
      <c r="O58" s="20"/>
      <c r="P58" s="20"/>
      <c r="Q58" s="20"/>
      <c r="R58" s="20"/>
      <c r="S58" s="20"/>
      <c r="T58" s="20"/>
      <c r="U58" s="20"/>
      <c r="V58" s="20"/>
      <c r="W58" s="20"/>
    </row>
    <row r="59">
      <c r="A59" s="20"/>
      <c r="B59" s="20"/>
      <c r="C59" s="20"/>
      <c r="D59" s="20"/>
      <c r="E59" s="20"/>
      <c r="F59" s="20"/>
      <c r="G59" s="20"/>
      <c r="H59" s="20"/>
      <c r="I59" s="20"/>
      <c r="J59" s="20"/>
      <c r="K59" s="20"/>
      <c r="L59" s="20"/>
      <c r="M59" s="20"/>
      <c r="N59" s="20"/>
      <c r="O59" s="20"/>
      <c r="P59" s="20"/>
      <c r="Q59" s="20"/>
      <c r="R59" s="20"/>
      <c r="S59" s="20"/>
      <c r="T59" s="20"/>
      <c r="U59" s="20"/>
      <c r="V59" s="20"/>
      <c r="W59" s="20"/>
    </row>
    <row r="60">
      <c r="A60" s="20"/>
      <c r="B60" s="20"/>
      <c r="C60" s="20"/>
      <c r="D60" s="20"/>
      <c r="E60" s="20"/>
      <c r="F60" s="20"/>
      <c r="G60" s="20"/>
      <c r="H60" s="20"/>
      <c r="I60" s="20"/>
      <c r="J60" s="20"/>
      <c r="K60" s="20"/>
      <c r="L60" s="20"/>
      <c r="M60" s="20"/>
      <c r="N60" s="20"/>
      <c r="O60" s="20"/>
      <c r="P60" s="20"/>
      <c r="Q60" s="20"/>
      <c r="R60" s="20"/>
      <c r="S60" s="20"/>
      <c r="T60" s="20"/>
      <c r="U60" s="20"/>
      <c r="V60" s="20"/>
      <c r="W60" s="20"/>
    </row>
    <row r="61">
      <c r="A61" s="20"/>
      <c r="B61" s="20"/>
      <c r="C61" s="20"/>
      <c r="D61" s="20"/>
      <c r="E61" s="20"/>
      <c r="F61" s="20"/>
      <c r="G61" s="20"/>
      <c r="H61" s="20"/>
      <c r="I61" s="20"/>
      <c r="J61" s="20"/>
      <c r="K61" s="20"/>
      <c r="L61" s="20"/>
      <c r="M61" s="20"/>
      <c r="N61" s="20"/>
      <c r="O61" s="20"/>
      <c r="P61" s="20"/>
      <c r="Q61" s="20"/>
      <c r="R61" s="20"/>
      <c r="S61" s="20"/>
      <c r="T61" s="20"/>
      <c r="U61" s="20"/>
      <c r="V61" s="20"/>
      <c r="W61" s="20"/>
    </row>
    <row r="62">
      <c r="A62" s="20"/>
      <c r="B62" s="20"/>
      <c r="C62" s="20"/>
      <c r="D62" s="20"/>
      <c r="E62" s="20"/>
      <c r="F62" s="20"/>
      <c r="G62" s="20"/>
      <c r="H62" s="20"/>
      <c r="I62" s="20"/>
      <c r="J62" s="20"/>
      <c r="K62" s="20"/>
      <c r="L62" s="20"/>
      <c r="M62" s="20"/>
      <c r="N62" s="20"/>
      <c r="O62" s="20"/>
      <c r="P62" s="20"/>
      <c r="Q62" s="20"/>
      <c r="R62" s="20"/>
      <c r="S62" s="20"/>
      <c r="T62" s="20"/>
      <c r="U62" s="20"/>
      <c r="V62" s="20"/>
      <c r="W62" s="20"/>
    </row>
    <row r="63">
      <c r="A63" s="20"/>
      <c r="B63" s="20"/>
      <c r="C63" s="20"/>
      <c r="D63" s="20"/>
      <c r="E63" s="20"/>
      <c r="F63" s="20"/>
      <c r="G63" s="20"/>
      <c r="H63" s="20"/>
      <c r="I63" s="20"/>
      <c r="J63" s="20"/>
      <c r="K63" s="20"/>
      <c r="L63" s="20"/>
      <c r="M63" s="20"/>
      <c r="N63" s="20"/>
      <c r="O63" s="20"/>
      <c r="P63" s="20"/>
      <c r="Q63" s="20"/>
      <c r="R63" s="20"/>
      <c r="S63" s="20"/>
      <c r="T63" s="20"/>
      <c r="U63" s="20"/>
      <c r="V63" s="20"/>
      <c r="W63" s="20"/>
    </row>
    <row r="64">
      <c r="A64" s="20"/>
      <c r="B64" s="20"/>
      <c r="C64" s="20"/>
      <c r="D64" s="20"/>
      <c r="E64" s="20"/>
      <c r="F64" s="20"/>
      <c r="G64" s="20"/>
      <c r="H64" s="20"/>
      <c r="I64" s="20"/>
      <c r="J64" s="20"/>
      <c r="K64" s="20"/>
      <c r="L64" s="20"/>
      <c r="M64" s="20"/>
      <c r="N64" s="20"/>
      <c r="O64" s="20"/>
      <c r="P64" s="20"/>
      <c r="Q64" s="20"/>
      <c r="R64" s="20"/>
      <c r="S64" s="20"/>
      <c r="T64" s="20"/>
      <c r="U64" s="20"/>
      <c r="V64" s="20"/>
      <c r="W64" s="20"/>
    </row>
    <row r="65">
      <c r="A65" s="20"/>
      <c r="B65" s="20"/>
      <c r="C65" s="20"/>
      <c r="D65" s="20"/>
      <c r="E65" s="20"/>
      <c r="F65" s="20"/>
      <c r="G65" s="20"/>
      <c r="H65" s="20"/>
      <c r="I65" s="20"/>
      <c r="J65" s="20"/>
      <c r="K65" s="20"/>
      <c r="L65" s="20"/>
      <c r="M65" s="20"/>
      <c r="N65" s="20"/>
      <c r="O65" s="20"/>
      <c r="P65" s="20"/>
      <c r="Q65" s="20"/>
      <c r="R65" s="20"/>
      <c r="S65" s="20"/>
      <c r="T65" s="20"/>
      <c r="U65" s="20"/>
      <c r="V65" s="20"/>
      <c r="W65" s="20"/>
    </row>
    <row r="66">
      <c r="A66" s="20"/>
      <c r="B66" s="20"/>
      <c r="C66" s="20"/>
      <c r="D66" s="20"/>
      <c r="E66" s="20"/>
      <c r="F66" s="20"/>
      <c r="G66" s="20"/>
      <c r="H66" s="20"/>
      <c r="I66" s="20"/>
      <c r="J66" s="20"/>
      <c r="K66" s="20"/>
      <c r="L66" s="20"/>
      <c r="M66" s="20"/>
      <c r="N66" s="20"/>
      <c r="O66" s="20"/>
      <c r="P66" s="20"/>
      <c r="Q66" s="20"/>
      <c r="R66" s="20"/>
      <c r="S66" s="20"/>
      <c r="T66" s="20"/>
      <c r="U66" s="20"/>
      <c r="V66" s="20"/>
      <c r="W66" s="20"/>
    </row>
    <row r="67">
      <c r="A67" s="20"/>
      <c r="B67" s="20"/>
      <c r="C67" s="20"/>
      <c r="D67" s="20"/>
      <c r="E67" s="20"/>
      <c r="F67" s="20"/>
      <c r="G67" s="20"/>
      <c r="H67" s="20"/>
      <c r="I67" s="20"/>
      <c r="J67" s="20"/>
      <c r="K67" s="20"/>
      <c r="L67" s="20"/>
      <c r="M67" s="20"/>
      <c r="N67" s="20"/>
      <c r="O67" s="20"/>
      <c r="P67" s="20"/>
      <c r="Q67" s="20"/>
      <c r="R67" s="20"/>
      <c r="S67" s="20"/>
      <c r="T67" s="20"/>
      <c r="U67" s="20"/>
      <c r="V67" s="20"/>
      <c r="W67" s="20"/>
    </row>
    <row r="68">
      <c r="A68" s="20"/>
      <c r="B68" s="20"/>
      <c r="C68" s="20"/>
      <c r="D68" s="20"/>
      <c r="E68" s="20"/>
      <c r="F68" s="20"/>
      <c r="G68" s="20"/>
      <c r="H68" s="20"/>
      <c r="I68" s="20"/>
      <c r="J68" s="20"/>
      <c r="K68" s="20"/>
      <c r="L68" s="20"/>
      <c r="M68" s="20"/>
      <c r="N68" s="20"/>
      <c r="O68" s="20"/>
      <c r="P68" s="20"/>
      <c r="Q68" s="20"/>
      <c r="R68" s="20"/>
      <c r="S68" s="20"/>
      <c r="T68" s="20"/>
      <c r="U68" s="20"/>
      <c r="V68" s="20"/>
      <c r="W68" s="20"/>
    </row>
    <row r="69">
      <c r="A69" s="20"/>
      <c r="B69" s="20"/>
      <c r="C69" s="20"/>
      <c r="D69" s="20"/>
      <c r="E69" s="20"/>
      <c r="F69" s="20"/>
      <c r="G69" s="20"/>
      <c r="H69" s="20"/>
      <c r="I69" s="20"/>
      <c r="J69" s="20"/>
      <c r="K69" s="20"/>
      <c r="L69" s="20"/>
      <c r="M69" s="20"/>
      <c r="N69" s="20"/>
      <c r="O69" s="20"/>
      <c r="P69" s="20"/>
      <c r="Q69" s="20"/>
      <c r="R69" s="20"/>
      <c r="S69" s="20"/>
      <c r="T69" s="20"/>
      <c r="U69" s="20"/>
      <c r="V69" s="20"/>
      <c r="W69" s="20"/>
    </row>
    <row r="70">
      <c r="A70" s="20"/>
      <c r="B70" s="20"/>
      <c r="C70" s="20"/>
      <c r="D70" s="20"/>
      <c r="E70" s="20"/>
      <c r="F70" s="20"/>
      <c r="G70" s="20"/>
      <c r="H70" s="20"/>
      <c r="I70" s="20"/>
      <c r="J70" s="20"/>
      <c r="K70" s="20"/>
      <c r="L70" s="20"/>
      <c r="M70" s="20"/>
      <c r="N70" s="20"/>
      <c r="O70" s="20"/>
      <c r="P70" s="20"/>
      <c r="Q70" s="20"/>
      <c r="R70" s="20"/>
      <c r="S70" s="20"/>
      <c r="T70" s="20"/>
      <c r="U70" s="20"/>
      <c r="V70" s="20"/>
      <c r="W70" s="20"/>
    </row>
    <row r="71">
      <c r="A71" s="20"/>
      <c r="B71" s="20"/>
      <c r="C71" s="20"/>
      <c r="D71" s="20"/>
      <c r="E71" s="20"/>
      <c r="F71" s="20"/>
      <c r="G71" s="20"/>
      <c r="H71" s="20"/>
      <c r="I71" s="20"/>
      <c r="J71" s="20"/>
      <c r="K71" s="20"/>
      <c r="L71" s="20"/>
      <c r="M71" s="20"/>
      <c r="N71" s="20"/>
      <c r="O71" s="20"/>
      <c r="P71" s="20"/>
      <c r="Q71" s="20"/>
      <c r="R71" s="20"/>
      <c r="S71" s="20"/>
      <c r="T71" s="20"/>
      <c r="U71" s="20"/>
      <c r="V71" s="20"/>
      <c r="W71" s="20"/>
    </row>
    <row r="72">
      <c r="A72" s="20"/>
      <c r="B72" s="20"/>
      <c r="C72" s="20"/>
      <c r="D72" s="20"/>
      <c r="E72" s="20"/>
      <c r="F72" s="20"/>
      <c r="G72" s="20"/>
      <c r="H72" s="20"/>
      <c r="I72" s="20"/>
      <c r="J72" s="20"/>
      <c r="K72" s="20"/>
      <c r="L72" s="20"/>
      <c r="M72" s="20"/>
      <c r="N72" s="20"/>
      <c r="O72" s="20"/>
      <c r="P72" s="20"/>
      <c r="Q72" s="20"/>
      <c r="R72" s="20"/>
      <c r="S72" s="20"/>
      <c r="T72" s="20"/>
      <c r="U72" s="20"/>
      <c r="V72" s="20"/>
      <c r="W72" s="20"/>
    </row>
    <row r="73">
      <c r="A73" s="20"/>
      <c r="B73" s="20"/>
      <c r="C73" s="20"/>
      <c r="D73" s="20"/>
      <c r="E73" s="20"/>
      <c r="F73" s="20"/>
      <c r="G73" s="20"/>
      <c r="H73" s="20"/>
      <c r="I73" s="20"/>
      <c r="J73" s="20"/>
      <c r="K73" s="20"/>
      <c r="L73" s="20"/>
      <c r="M73" s="20"/>
      <c r="N73" s="20"/>
      <c r="O73" s="20"/>
      <c r="P73" s="20"/>
      <c r="Q73" s="20"/>
      <c r="R73" s="20"/>
      <c r="S73" s="20"/>
      <c r="T73" s="20"/>
      <c r="U73" s="20"/>
      <c r="V73" s="20"/>
      <c r="W73" s="20"/>
    </row>
    <row r="74">
      <c r="A74" s="20"/>
      <c r="B74" s="20"/>
      <c r="C74" s="20"/>
      <c r="D74" s="20"/>
      <c r="E74" s="20"/>
      <c r="F74" s="20"/>
      <c r="G74" s="20"/>
      <c r="H74" s="20"/>
      <c r="I74" s="20"/>
      <c r="J74" s="20"/>
      <c r="K74" s="20"/>
      <c r="L74" s="20"/>
      <c r="M74" s="20"/>
      <c r="N74" s="20"/>
      <c r="O74" s="20"/>
      <c r="P74" s="20"/>
      <c r="Q74" s="20"/>
      <c r="R74" s="20"/>
      <c r="S74" s="20"/>
      <c r="T74" s="20"/>
      <c r="U74" s="20"/>
      <c r="V74" s="20"/>
      <c r="W74" s="20"/>
    </row>
    <row r="75">
      <c r="A75" s="20"/>
      <c r="B75" s="20"/>
      <c r="C75" s="20"/>
      <c r="D75" s="20"/>
      <c r="E75" s="20"/>
      <c r="F75" s="20"/>
      <c r="G75" s="20"/>
      <c r="H75" s="20"/>
      <c r="I75" s="20"/>
      <c r="J75" s="20"/>
      <c r="K75" s="20"/>
      <c r="L75" s="20"/>
      <c r="M75" s="20"/>
      <c r="N75" s="20"/>
      <c r="O75" s="20"/>
      <c r="P75" s="20"/>
      <c r="Q75" s="20"/>
      <c r="R75" s="20"/>
      <c r="S75" s="20"/>
      <c r="T75" s="20"/>
      <c r="U75" s="20"/>
      <c r="V75" s="20"/>
      <c r="W75" s="20"/>
    </row>
    <row r="76">
      <c r="A76" s="20"/>
      <c r="B76" s="20"/>
      <c r="C76" s="20"/>
      <c r="D76" s="20"/>
      <c r="E76" s="20"/>
      <c r="F76" s="20"/>
      <c r="G76" s="20"/>
      <c r="H76" s="20"/>
      <c r="I76" s="20"/>
      <c r="J76" s="20"/>
      <c r="K76" s="20"/>
      <c r="L76" s="20"/>
      <c r="M76" s="20"/>
      <c r="N76" s="20"/>
      <c r="O76" s="20"/>
      <c r="P76" s="20"/>
      <c r="Q76" s="20"/>
      <c r="R76" s="20"/>
      <c r="S76" s="20"/>
      <c r="T76" s="20"/>
      <c r="U76" s="20"/>
      <c r="V76" s="20"/>
      <c r="W76" s="20"/>
    </row>
    <row r="77">
      <c r="A77" s="20"/>
      <c r="B77" s="20"/>
      <c r="C77" s="20"/>
      <c r="D77" s="20"/>
      <c r="E77" s="20"/>
      <c r="F77" s="20"/>
      <c r="G77" s="20"/>
      <c r="H77" s="20"/>
      <c r="I77" s="20"/>
      <c r="J77" s="20"/>
      <c r="K77" s="20"/>
      <c r="L77" s="20"/>
      <c r="M77" s="20"/>
      <c r="N77" s="20"/>
      <c r="O77" s="20"/>
      <c r="P77" s="20"/>
      <c r="Q77" s="20"/>
      <c r="R77" s="20"/>
      <c r="S77" s="20"/>
      <c r="T77" s="20"/>
      <c r="U77" s="20"/>
      <c r="V77" s="20"/>
      <c r="W77" s="20"/>
    </row>
    <row r="78">
      <c r="A78" s="20"/>
      <c r="B78" s="20"/>
      <c r="C78" s="20"/>
      <c r="D78" s="20"/>
      <c r="E78" s="20"/>
      <c r="F78" s="20"/>
      <c r="G78" s="20"/>
      <c r="H78" s="20"/>
      <c r="I78" s="20"/>
      <c r="J78" s="20"/>
      <c r="K78" s="20"/>
      <c r="L78" s="20"/>
      <c r="M78" s="20"/>
      <c r="N78" s="20"/>
      <c r="O78" s="20"/>
      <c r="P78" s="20"/>
      <c r="Q78" s="20"/>
      <c r="R78" s="20"/>
      <c r="S78" s="20"/>
      <c r="T78" s="20"/>
      <c r="U78" s="20"/>
      <c r="V78" s="20"/>
      <c r="W78" s="20"/>
    </row>
    <row r="79">
      <c r="A79" s="20"/>
      <c r="B79" s="20"/>
      <c r="C79" s="20"/>
      <c r="D79" s="20"/>
      <c r="E79" s="20"/>
      <c r="F79" s="20"/>
      <c r="G79" s="20"/>
      <c r="H79" s="20"/>
      <c r="I79" s="20"/>
      <c r="J79" s="20"/>
      <c r="K79" s="20"/>
      <c r="L79" s="20"/>
      <c r="M79" s="20"/>
      <c r="N79" s="20"/>
      <c r="O79" s="20"/>
      <c r="P79" s="20"/>
      <c r="Q79" s="20"/>
      <c r="R79" s="20"/>
      <c r="S79" s="20"/>
      <c r="T79" s="20"/>
      <c r="U79" s="20"/>
      <c r="V79" s="20"/>
      <c r="W79" s="20"/>
    </row>
    <row r="80">
      <c r="A80" s="20"/>
      <c r="B80" s="20"/>
      <c r="C80" s="20"/>
      <c r="D80" s="20"/>
      <c r="E80" s="20"/>
      <c r="F80" s="20"/>
      <c r="G80" s="20"/>
      <c r="H80" s="20"/>
      <c r="I80" s="20"/>
      <c r="J80" s="20"/>
      <c r="K80" s="20"/>
      <c r="L80" s="20"/>
      <c r="M80" s="20"/>
      <c r="N80" s="20"/>
      <c r="O80" s="20"/>
      <c r="P80" s="20"/>
      <c r="Q80" s="20"/>
      <c r="R80" s="20"/>
      <c r="S80" s="20"/>
      <c r="T80" s="20"/>
      <c r="U80" s="20"/>
      <c r="V80" s="20"/>
      <c r="W80" s="20"/>
    </row>
    <row r="81">
      <c r="A81" s="20"/>
      <c r="B81" s="20"/>
      <c r="C81" s="20"/>
      <c r="D81" s="20"/>
      <c r="E81" s="20"/>
      <c r="F81" s="20"/>
      <c r="G81" s="20"/>
      <c r="H81" s="20"/>
      <c r="I81" s="20"/>
      <c r="J81" s="20"/>
      <c r="K81" s="20"/>
      <c r="L81" s="20"/>
      <c r="M81" s="20"/>
      <c r="N81" s="20"/>
      <c r="O81" s="20"/>
      <c r="P81" s="20"/>
      <c r="Q81" s="20"/>
      <c r="R81" s="20"/>
      <c r="S81" s="20"/>
      <c r="T81" s="20"/>
      <c r="U81" s="20"/>
      <c r="V81" s="20"/>
      <c r="W81" s="20"/>
    </row>
    <row r="82">
      <c r="A82" s="20"/>
      <c r="B82" s="20"/>
      <c r="C82" s="20"/>
      <c r="D82" s="20"/>
      <c r="E82" s="20"/>
      <c r="F82" s="20"/>
      <c r="G82" s="20"/>
      <c r="H82" s="20"/>
      <c r="I82" s="20"/>
      <c r="J82" s="20"/>
      <c r="K82" s="20"/>
      <c r="L82" s="20"/>
      <c r="M82" s="20"/>
      <c r="N82" s="20"/>
      <c r="O82" s="20"/>
      <c r="P82" s="20"/>
      <c r="Q82" s="20"/>
      <c r="R82" s="20"/>
      <c r="S82" s="20"/>
      <c r="T82" s="20"/>
      <c r="U82" s="20"/>
      <c r="V82" s="20"/>
      <c r="W82" s="20"/>
    </row>
    <row r="83">
      <c r="A83" s="20"/>
      <c r="B83" s="20"/>
      <c r="C83" s="20"/>
      <c r="D83" s="20"/>
      <c r="E83" s="20"/>
      <c r="F83" s="20"/>
      <c r="G83" s="20"/>
      <c r="H83" s="20"/>
      <c r="I83" s="20"/>
      <c r="J83" s="20"/>
      <c r="K83" s="20"/>
      <c r="L83" s="20"/>
      <c r="M83" s="20"/>
      <c r="N83" s="20"/>
      <c r="O83" s="20"/>
      <c r="P83" s="20"/>
      <c r="Q83" s="20"/>
      <c r="R83" s="20"/>
      <c r="S83" s="20"/>
      <c r="T83" s="20"/>
      <c r="U83" s="20"/>
      <c r="V83" s="20"/>
      <c r="W83" s="20"/>
    </row>
    <row r="84">
      <c r="A84" s="20"/>
      <c r="B84" s="20"/>
      <c r="C84" s="20"/>
      <c r="D84" s="20"/>
      <c r="E84" s="20"/>
      <c r="F84" s="20"/>
      <c r="G84" s="20"/>
      <c r="H84" s="20"/>
      <c r="I84" s="20"/>
      <c r="J84" s="20"/>
      <c r="K84" s="20"/>
      <c r="L84" s="20"/>
      <c r="M84" s="20"/>
      <c r="N84" s="20"/>
      <c r="O84" s="20"/>
      <c r="P84" s="20"/>
      <c r="Q84" s="20"/>
      <c r="R84" s="20"/>
      <c r="S84" s="20"/>
      <c r="T84" s="20"/>
      <c r="U84" s="20"/>
      <c r="V84" s="20"/>
      <c r="W84" s="20"/>
    </row>
    <row r="85">
      <c r="A85" s="20"/>
      <c r="B85" s="20"/>
      <c r="C85" s="20"/>
      <c r="D85" s="20"/>
      <c r="E85" s="20"/>
      <c r="F85" s="20"/>
      <c r="G85" s="20"/>
      <c r="H85" s="20"/>
      <c r="I85" s="20"/>
      <c r="J85" s="20"/>
      <c r="K85" s="20"/>
      <c r="L85" s="20"/>
      <c r="M85" s="20"/>
      <c r="N85" s="20"/>
      <c r="O85" s="20"/>
      <c r="P85" s="20"/>
      <c r="Q85" s="20"/>
      <c r="R85" s="20"/>
      <c r="S85" s="20"/>
      <c r="T85" s="20"/>
      <c r="U85" s="20"/>
      <c r="V85" s="20"/>
      <c r="W85" s="20"/>
    </row>
    <row r="86">
      <c r="A86" s="20"/>
      <c r="B86" s="20"/>
      <c r="C86" s="20"/>
      <c r="D86" s="20"/>
      <c r="E86" s="20"/>
      <c r="F86" s="20"/>
      <c r="G86" s="20"/>
      <c r="H86" s="20"/>
      <c r="I86" s="20"/>
      <c r="J86" s="20"/>
      <c r="K86" s="20"/>
      <c r="L86" s="20"/>
      <c r="M86" s="20"/>
      <c r="N86" s="20"/>
      <c r="O86" s="20"/>
      <c r="P86" s="20"/>
      <c r="Q86" s="20"/>
      <c r="R86" s="20"/>
      <c r="S86" s="20"/>
      <c r="T86" s="20"/>
      <c r="U86" s="20"/>
      <c r="V86" s="20"/>
      <c r="W86" s="20"/>
    </row>
    <row r="87">
      <c r="A87" s="20"/>
      <c r="B87" s="20"/>
      <c r="C87" s="20"/>
      <c r="D87" s="20"/>
      <c r="E87" s="20"/>
      <c r="F87" s="20"/>
      <c r="G87" s="20"/>
      <c r="H87" s="20"/>
      <c r="I87" s="20"/>
      <c r="J87" s="20"/>
      <c r="K87" s="20"/>
      <c r="L87" s="20"/>
      <c r="M87" s="20"/>
      <c r="N87" s="20"/>
      <c r="O87" s="20"/>
      <c r="P87" s="20"/>
      <c r="Q87" s="20"/>
      <c r="R87" s="20"/>
      <c r="S87" s="20"/>
      <c r="T87" s="20"/>
      <c r="U87" s="20"/>
      <c r="V87" s="20"/>
      <c r="W87" s="20"/>
    </row>
    <row r="88">
      <c r="A88" s="20"/>
      <c r="B88" s="20"/>
      <c r="C88" s="20"/>
      <c r="D88" s="20"/>
      <c r="E88" s="20"/>
      <c r="F88" s="20"/>
      <c r="G88" s="20"/>
      <c r="H88" s="20"/>
      <c r="I88" s="20"/>
      <c r="J88" s="20"/>
      <c r="K88" s="20"/>
      <c r="L88" s="20"/>
      <c r="M88" s="20"/>
      <c r="N88" s="20"/>
      <c r="O88" s="20"/>
      <c r="P88" s="20"/>
      <c r="Q88" s="20"/>
      <c r="R88" s="20"/>
      <c r="S88" s="20"/>
      <c r="T88" s="20"/>
      <c r="U88" s="20"/>
      <c r="V88" s="20"/>
      <c r="W88" s="20"/>
    </row>
    <row r="89">
      <c r="A89" s="20"/>
      <c r="B89" s="20"/>
      <c r="C89" s="20"/>
      <c r="D89" s="20"/>
      <c r="E89" s="20"/>
      <c r="F89" s="20"/>
      <c r="G89" s="20"/>
      <c r="H89" s="20"/>
      <c r="I89" s="20"/>
      <c r="J89" s="20"/>
      <c r="K89" s="20"/>
      <c r="L89" s="20"/>
      <c r="M89" s="20"/>
      <c r="N89" s="20"/>
      <c r="O89" s="20"/>
      <c r="P89" s="20"/>
      <c r="Q89" s="20"/>
      <c r="R89" s="20"/>
      <c r="S89" s="20"/>
      <c r="T89" s="20"/>
      <c r="U89" s="20"/>
      <c r="V89" s="20"/>
      <c r="W89" s="20"/>
    </row>
    <row r="90">
      <c r="A90" s="20"/>
      <c r="B90" s="20"/>
      <c r="C90" s="20"/>
      <c r="D90" s="20"/>
      <c r="E90" s="20"/>
      <c r="F90" s="20"/>
      <c r="G90" s="20"/>
      <c r="H90" s="20"/>
      <c r="I90" s="20"/>
      <c r="J90" s="20"/>
      <c r="K90" s="20"/>
      <c r="L90" s="20"/>
      <c r="M90" s="20"/>
      <c r="N90" s="20"/>
      <c r="O90" s="20"/>
      <c r="P90" s="20"/>
      <c r="Q90" s="20"/>
      <c r="R90" s="20"/>
      <c r="S90" s="20"/>
      <c r="T90" s="20"/>
      <c r="U90" s="20"/>
      <c r="V90" s="20"/>
      <c r="W90" s="20"/>
    </row>
    <row r="91">
      <c r="A91" s="20"/>
      <c r="B91" s="20"/>
      <c r="C91" s="20"/>
      <c r="D91" s="20"/>
      <c r="E91" s="20"/>
      <c r="F91" s="20"/>
      <c r="G91" s="20"/>
      <c r="H91" s="20"/>
      <c r="I91" s="20"/>
      <c r="J91" s="20"/>
      <c r="K91" s="20"/>
      <c r="L91" s="20"/>
      <c r="M91" s="20"/>
      <c r="N91" s="20"/>
      <c r="O91" s="20"/>
      <c r="P91" s="20"/>
      <c r="Q91" s="20"/>
      <c r="R91" s="20"/>
      <c r="S91" s="20"/>
      <c r="T91" s="20"/>
      <c r="U91" s="20"/>
      <c r="V91" s="20"/>
      <c r="W91" s="20"/>
    </row>
    <row r="92">
      <c r="A92" s="20"/>
      <c r="B92" s="20"/>
      <c r="C92" s="20"/>
      <c r="D92" s="20"/>
      <c r="E92" s="20"/>
      <c r="F92" s="20"/>
      <c r="G92" s="20"/>
      <c r="H92" s="20"/>
      <c r="I92" s="20"/>
      <c r="J92" s="20"/>
      <c r="K92" s="20"/>
      <c r="L92" s="20"/>
      <c r="M92" s="20"/>
      <c r="N92" s="20"/>
      <c r="O92" s="20"/>
      <c r="P92" s="20"/>
      <c r="Q92" s="20"/>
      <c r="R92" s="20"/>
      <c r="S92" s="20"/>
      <c r="T92" s="20"/>
      <c r="U92" s="20"/>
      <c r="V92" s="20"/>
      <c r="W92" s="20"/>
    </row>
    <row r="93">
      <c r="A93" s="20"/>
      <c r="B93" s="20"/>
      <c r="C93" s="20"/>
      <c r="D93" s="20"/>
      <c r="E93" s="20"/>
      <c r="F93" s="20"/>
      <c r="G93" s="20"/>
      <c r="H93" s="20"/>
      <c r="I93" s="20"/>
      <c r="J93" s="20"/>
      <c r="K93" s="20"/>
      <c r="L93" s="20"/>
      <c r="M93" s="20"/>
      <c r="N93" s="20"/>
      <c r="O93" s="20"/>
      <c r="P93" s="20"/>
      <c r="Q93" s="20"/>
      <c r="R93" s="20"/>
      <c r="S93" s="20"/>
      <c r="T93" s="20"/>
      <c r="U93" s="20"/>
      <c r="V93" s="20"/>
      <c r="W93" s="20"/>
    </row>
    <row r="94">
      <c r="A94" s="20"/>
      <c r="B94" s="20"/>
      <c r="C94" s="20"/>
      <c r="D94" s="20"/>
      <c r="E94" s="20"/>
      <c r="F94" s="20"/>
      <c r="G94" s="20"/>
      <c r="H94" s="20"/>
      <c r="I94" s="20"/>
      <c r="J94" s="20"/>
      <c r="K94" s="20"/>
      <c r="L94" s="20"/>
      <c r="M94" s="20"/>
      <c r="N94" s="20"/>
      <c r="O94" s="20"/>
      <c r="P94" s="20"/>
      <c r="Q94" s="20"/>
      <c r="R94" s="20"/>
      <c r="S94" s="20"/>
      <c r="T94" s="20"/>
      <c r="U94" s="20"/>
      <c r="V94" s="20"/>
      <c r="W94" s="20"/>
    </row>
    <row r="95">
      <c r="A95" s="20"/>
      <c r="B95" s="20"/>
      <c r="C95" s="20"/>
      <c r="D95" s="20"/>
      <c r="E95" s="20"/>
      <c r="F95" s="20"/>
      <c r="G95" s="20"/>
      <c r="H95" s="20"/>
      <c r="I95" s="20"/>
      <c r="J95" s="20"/>
      <c r="K95" s="20"/>
      <c r="L95" s="20"/>
      <c r="M95" s="20"/>
      <c r="N95" s="20"/>
      <c r="O95" s="20"/>
      <c r="P95" s="20"/>
      <c r="Q95" s="20"/>
      <c r="R95" s="20"/>
      <c r="S95" s="20"/>
      <c r="T95" s="20"/>
      <c r="U95" s="20"/>
      <c r="V95" s="20"/>
      <c r="W95" s="20"/>
    </row>
    <row r="96">
      <c r="A96" s="20"/>
      <c r="B96" s="20"/>
      <c r="C96" s="20"/>
      <c r="D96" s="20"/>
      <c r="E96" s="20"/>
      <c r="F96" s="20"/>
      <c r="G96" s="20"/>
      <c r="H96" s="20"/>
      <c r="I96" s="20"/>
      <c r="J96" s="20"/>
      <c r="K96" s="20"/>
      <c r="L96" s="20"/>
      <c r="M96" s="20"/>
      <c r="N96" s="20"/>
      <c r="O96" s="20"/>
      <c r="P96" s="20"/>
      <c r="Q96" s="20"/>
      <c r="R96" s="20"/>
      <c r="S96" s="20"/>
      <c r="T96" s="20"/>
      <c r="U96" s="20"/>
      <c r="V96" s="20"/>
      <c r="W96" s="20"/>
    </row>
    <row r="97">
      <c r="A97" s="20"/>
      <c r="B97" s="20"/>
      <c r="C97" s="20"/>
      <c r="D97" s="20"/>
      <c r="E97" s="20"/>
      <c r="F97" s="20"/>
      <c r="G97" s="20"/>
      <c r="H97" s="20"/>
      <c r="I97" s="20"/>
      <c r="J97" s="20"/>
      <c r="K97" s="20"/>
      <c r="L97" s="20"/>
      <c r="M97" s="20"/>
      <c r="N97" s="20"/>
      <c r="O97" s="20"/>
      <c r="P97" s="20"/>
      <c r="Q97" s="20"/>
      <c r="R97" s="20"/>
      <c r="S97" s="20"/>
      <c r="T97" s="20"/>
      <c r="U97" s="20"/>
      <c r="V97" s="20"/>
      <c r="W97" s="20"/>
    </row>
    <row r="98">
      <c r="A98" s="20"/>
      <c r="B98" s="20"/>
      <c r="C98" s="20"/>
      <c r="D98" s="20"/>
      <c r="E98" s="20"/>
      <c r="F98" s="20"/>
      <c r="G98" s="20"/>
      <c r="H98" s="20"/>
      <c r="I98" s="20"/>
      <c r="J98" s="20"/>
      <c r="K98" s="20"/>
      <c r="L98" s="20"/>
      <c r="M98" s="20"/>
      <c r="N98" s="20"/>
      <c r="O98" s="20"/>
      <c r="P98" s="20"/>
      <c r="Q98" s="20"/>
      <c r="R98" s="20"/>
      <c r="S98" s="20"/>
      <c r="T98" s="20"/>
      <c r="U98" s="20"/>
      <c r="V98" s="20"/>
      <c r="W98" s="20"/>
    </row>
    <row r="99">
      <c r="A99" s="20"/>
      <c r="B99" s="20"/>
      <c r="C99" s="20"/>
      <c r="D99" s="20"/>
      <c r="E99" s="20"/>
      <c r="F99" s="20"/>
      <c r="G99" s="20"/>
      <c r="H99" s="20"/>
      <c r="I99" s="20"/>
      <c r="J99" s="20"/>
      <c r="K99" s="20"/>
      <c r="L99" s="20"/>
      <c r="M99" s="20"/>
      <c r="N99" s="20"/>
      <c r="O99" s="20"/>
      <c r="P99" s="20"/>
      <c r="Q99" s="20"/>
      <c r="R99" s="20"/>
      <c r="S99" s="20"/>
      <c r="T99" s="20"/>
      <c r="U99" s="20"/>
      <c r="V99" s="20"/>
      <c r="W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row>
  </sheetData>
  <mergeCells count="22">
    <mergeCell ref="L1:L2"/>
    <mergeCell ref="M1:M2"/>
    <mergeCell ref="N1:N2"/>
    <mergeCell ref="A1:B2"/>
    <mergeCell ref="C1:C2"/>
    <mergeCell ref="D1:D2"/>
    <mergeCell ref="E1:H1"/>
    <mergeCell ref="I1:I2"/>
    <mergeCell ref="J1:J2"/>
    <mergeCell ref="K1:K2"/>
    <mergeCell ref="B31:B32"/>
    <mergeCell ref="A33:B34"/>
    <mergeCell ref="A35:B36"/>
    <mergeCell ref="A37:B39"/>
    <mergeCell ref="A40:B40"/>
    <mergeCell ref="A3:A17"/>
    <mergeCell ref="B3:B13"/>
    <mergeCell ref="B14:B15"/>
    <mergeCell ref="B16:B17"/>
    <mergeCell ref="A18:A32"/>
    <mergeCell ref="B18:B27"/>
    <mergeCell ref="B28:B30"/>
  </mergeCells>
  <conditionalFormatting sqref="C1:L1000">
    <cfRule type="endsWith" dxfId="0" priority="1" operator="endsWith" text="-">
      <formula>RIGHT((C1),LEN("-"))=("-")</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0" max="11" width="12.63"/>
  </cols>
  <sheetData>
    <row r="1">
      <c r="A1" s="88">
        <v>46105.65138888889</v>
      </c>
      <c r="B1" s="9" t="s">
        <v>1630</v>
      </c>
      <c r="C1" s="12">
        <v>0.0</v>
      </c>
      <c r="D1" s="12">
        <v>0.0</v>
      </c>
      <c r="E1" s="12">
        <v>1.0</v>
      </c>
      <c r="F1" s="12">
        <v>1.0</v>
      </c>
      <c r="J1" s="9" t="s">
        <v>1631</v>
      </c>
    </row>
    <row r="2">
      <c r="A2" s="88">
        <v>46106.35902777778</v>
      </c>
      <c r="B2" s="9" t="s">
        <v>1630</v>
      </c>
      <c r="C2" s="12">
        <v>2.0</v>
      </c>
      <c r="D2" s="12">
        <v>0.0</v>
      </c>
      <c r="E2" s="12">
        <v>1.0</v>
      </c>
      <c r="F2" s="12">
        <v>1.0</v>
      </c>
      <c r="H2" s="9" t="s">
        <v>1632</v>
      </c>
      <c r="I2" s="9" t="s">
        <v>1633</v>
      </c>
      <c r="J2" s="9" t="s">
        <v>1634</v>
      </c>
      <c r="K2" s="9" t="s">
        <v>1635</v>
      </c>
    </row>
    <row r="3">
      <c r="A3" s="88">
        <v>46106.39236111111</v>
      </c>
      <c r="B3" s="9" t="s">
        <v>1636</v>
      </c>
      <c r="C3" s="12">
        <v>3.0</v>
      </c>
      <c r="D3" s="12">
        <v>0.0</v>
      </c>
      <c r="E3" s="12">
        <v>1.0</v>
      </c>
      <c r="F3" s="12">
        <v>1.0</v>
      </c>
      <c r="G3" s="9" t="s">
        <v>1637</v>
      </c>
      <c r="H3" s="9" t="s">
        <v>1632</v>
      </c>
      <c r="I3" s="9" t="s">
        <v>1633</v>
      </c>
      <c r="J3" s="9" t="s">
        <v>1638</v>
      </c>
      <c r="K3" s="9" t="s">
        <v>1635</v>
      </c>
      <c r="L3" s="9" t="s">
        <v>1639</v>
      </c>
    </row>
    <row r="4">
      <c r="A4" s="88">
        <v>46147.97430555556</v>
      </c>
      <c r="B4" s="9" t="s">
        <v>1630</v>
      </c>
      <c r="C4" s="12">
        <v>2.0</v>
      </c>
      <c r="D4" s="12">
        <v>0.0</v>
      </c>
      <c r="E4" s="12">
        <v>0.0</v>
      </c>
      <c r="F4" s="12">
        <v>1.0</v>
      </c>
      <c r="G4" s="9" t="s">
        <v>1637</v>
      </c>
      <c r="H4" s="9" t="s">
        <v>1581</v>
      </c>
      <c r="I4" s="9" t="s">
        <v>1640</v>
      </c>
      <c r="J4" s="9" t="s">
        <v>1641</v>
      </c>
      <c r="K4" s="9" t="s">
        <v>1642</v>
      </c>
      <c r="L4" s="9" t="s">
        <v>1643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 customWidth="1" min="4" max="4" width="108.25"/>
  </cols>
  <sheetData>
    <row r="1" ht="12.0" customHeight="1">
      <c r="A1" s="89" t="s">
        <v>44</v>
      </c>
      <c r="B1" s="89" t="s">
        <v>1644</v>
      </c>
      <c r="C1" s="89" t="s">
        <v>1645</v>
      </c>
      <c r="D1" s="89" t="s">
        <v>1646</v>
      </c>
      <c r="E1" s="29" t="s">
        <v>1647</v>
      </c>
      <c r="F1" s="29" t="s">
        <v>1648</v>
      </c>
      <c r="G1" s="29" t="s">
        <v>1649</v>
      </c>
      <c r="H1" s="20"/>
      <c r="I1" s="20"/>
      <c r="J1" s="20"/>
      <c r="K1" s="20"/>
      <c r="L1" s="20"/>
      <c r="M1" s="20"/>
      <c r="N1" s="20"/>
      <c r="O1" s="20"/>
      <c r="P1" s="20"/>
      <c r="Q1" s="20"/>
      <c r="R1" s="20"/>
      <c r="S1" s="20"/>
      <c r="T1" s="20"/>
      <c r="U1" s="20"/>
      <c r="V1" s="20"/>
      <c r="W1" s="20"/>
      <c r="X1" s="20"/>
    </row>
    <row r="2">
      <c r="A2" s="90">
        <v>46134.0</v>
      </c>
      <c r="B2" s="91">
        <v>0.47208333333333335</v>
      </c>
      <c r="C2" s="92" t="s">
        <v>1650</v>
      </c>
      <c r="D2" s="93" t="s">
        <v>1651</v>
      </c>
      <c r="E2" s="94">
        <v>0.0</v>
      </c>
      <c r="F2" s="94">
        <v>0.0</v>
      </c>
      <c r="G2" s="92" t="s">
        <v>1652</v>
      </c>
      <c r="H2" s="95"/>
      <c r="I2" s="95"/>
      <c r="J2" s="95"/>
      <c r="K2" s="95"/>
      <c r="L2" s="95"/>
      <c r="M2" s="95"/>
      <c r="N2" s="95"/>
      <c r="O2" s="95"/>
      <c r="P2" s="95"/>
      <c r="Q2" s="95"/>
      <c r="R2" s="95"/>
      <c r="S2" s="95"/>
      <c r="T2" s="95"/>
      <c r="U2" s="95"/>
      <c r="V2" s="95"/>
      <c r="W2" s="95"/>
      <c r="X2" s="95"/>
    </row>
    <row r="3">
      <c r="A3" s="90">
        <v>46134.0</v>
      </c>
      <c r="B3" s="91">
        <v>0.47226851851851853</v>
      </c>
      <c r="C3" s="92" t="s">
        <v>1653</v>
      </c>
      <c r="D3" s="93" t="s">
        <v>1654</v>
      </c>
      <c r="E3" s="94">
        <v>6264.0</v>
      </c>
      <c r="F3" s="94">
        <v>430.0</v>
      </c>
      <c r="G3" s="92" t="s">
        <v>1655</v>
      </c>
      <c r="H3" s="95"/>
      <c r="I3" s="95"/>
      <c r="J3" s="95"/>
      <c r="K3" s="95"/>
      <c r="L3" s="95"/>
      <c r="M3" s="95"/>
      <c r="N3" s="95"/>
      <c r="O3" s="95"/>
      <c r="P3" s="95"/>
      <c r="Q3" s="95"/>
      <c r="R3" s="95"/>
      <c r="S3" s="95"/>
      <c r="T3" s="95"/>
      <c r="U3" s="95"/>
      <c r="V3" s="95"/>
      <c r="W3" s="95"/>
      <c r="X3" s="95"/>
    </row>
    <row r="4">
      <c r="A4" s="90">
        <v>46134.0</v>
      </c>
      <c r="B4" s="91">
        <v>0.4727777777777778</v>
      </c>
      <c r="C4" s="92" t="s">
        <v>1656</v>
      </c>
      <c r="D4" s="93" t="s">
        <v>1657</v>
      </c>
      <c r="E4" s="94">
        <v>6860.0</v>
      </c>
      <c r="F4" s="94">
        <v>54.0</v>
      </c>
      <c r="G4" s="92"/>
      <c r="H4" s="95"/>
      <c r="I4" s="95"/>
      <c r="J4" s="95"/>
      <c r="K4" s="95"/>
      <c r="L4" s="95"/>
      <c r="M4" s="95"/>
      <c r="N4" s="95"/>
      <c r="O4" s="95"/>
      <c r="P4" s="95"/>
      <c r="Q4" s="95"/>
      <c r="R4" s="95"/>
      <c r="S4" s="95"/>
      <c r="T4" s="95"/>
      <c r="U4" s="95"/>
      <c r="V4" s="95"/>
      <c r="W4" s="95"/>
      <c r="X4" s="95"/>
    </row>
    <row r="5">
      <c r="A5" s="90">
        <v>46134.0</v>
      </c>
      <c r="B5" s="91">
        <v>0.47304398148148147</v>
      </c>
      <c r="C5" s="92" t="s">
        <v>1658</v>
      </c>
      <c r="D5" s="93" t="s">
        <v>1659</v>
      </c>
      <c r="E5" s="94">
        <v>6750.0</v>
      </c>
      <c r="F5" s="94">
        <v>445.0</v>
      </c>
      <c r="G5" s="92" t="s">
        <v>1652</v>
      </c>
      <c r="H5" s="95"/>
      <c r="I5" s="95"/>
      <c r="J5" s="95"/>
      <c r="K5" s="95"/>
      <c r="L5" s="95"/>
      <c r="M5" s="95"/>
      <c r="N5" s="95"/>
      <c r="O5" s="95"/>
      <c r="P5" s="95"/>
      <c r="Q5" s="95"/>
      <c r="R5" s="95"/>
      <c r="S5" s="95"/>
      <c r="T5" s="95"/>
      <c r="U5" s="95"/>
      <c r="V5" s="95"/>
      <c r="W5" s="95"/>
      <c r="X5" s="95"/>
    </row>
    <row r="6">
      <c r="A6" s="90">
        <v>46134.0</v>
      </c>
      <c r="B6" s="91">
        <v>0.4735300925925926</v>
      </c>
      <c r="C6" s="92" t="s">
        <v>1660</v>
      </c>
      <c r="D6" s="93" t="s">
        <v>1661</v>
      </c>
      <c r="E6" s="94">
        <v>6884.0</v>
      </c>
      <c r="F6" s="94">
        <v>291.0</v>
      </c>
      <c r="G6" s="92" t="s">
        <v>1652</v>
      </c>
      <c r="H6" s="95"/>
      <c r="I6" s="95"/>
      <c r="J6" s="95"/>
      <c r="K6" s="95"/>
      <c r="L6" s="95"/>
      <c r="M6" s="95"/>
      <c r="N6" s="95"/>
      <c r="O6" s="95"/>
      <c r="P6" s="95"/>
      <c r="Q6" s="95"/>
      <c r="R6" s="95"/>
      <c r="S6" s="95"/>
      <c r="T6" s="95"/>
      <c r="U6" s="95"/>
      <c r="V6" s="95"/>
      <c r="W6" s="95"/>
      <c r="X6" s="95"/>
    </row>
    <row r="7">
      <c r="A7" s="90">
        <v>46134.0</v>
      </c>
      <c r="B7" s="91">
        <v>0.4738657407407407</v>
      </c>
      <c r="C7" s="92" t="s">
        <v>1662</v>
      </c>
      <c r="D7" s="93" t="s">
        <v>1663</v>
      </c>
      <c r="E7" s="94">
        <v>6762.0</v>
      </c>
      <c r="F7" s="94">
        <v>219.0</v>
      </c>
      <c r="G7" s="92" t="s">
        <v>1652</v>
      </c>
      <c r="H7" s="95"/>
      <c r="I7" s="95"/>
      <c r="J7" s="95"/>
      <c r="K7" s="95"/>
      <c r="L7" s="95"/>
      <c r="M7" s="95"/>
      <c r="N7" s="95"/>
      <c r="O7" s="95"/>
      <c r="P7" s="95"/>
      <c r="Q7" s="95"/>
      <c r="R7" s="95"/>
      <c r="S7" s="95"/>
      <c r="T7" s="95"/>
      <c r="U7" s="95"/>
      <c r="V7" s="95"/>
      <c r="W7" s="95"/>
      <c r="X7" s="95"/>
    </row>
    <row r="8">
      <c r="A8" s="90">
        <v>46134.0</v>
      </c>
      <c r="B8" s="91">
        <v>0.4743865740740741</v>
      </c>
      <c r="C8" s="92" t="s">
        <v>1664</v>
      </c>
      <c r="D8" s="93" t="s">
        <v>1665</v>
      </c>
      <c r="E8" s="94">
        <v>7355.0</v>
      </c>
      <c r="F8" s="94">
        <v>591.0</v>
      </c>
      <c r="G8" s="92" t="s">
        <v>1652</v>
      </c>
      <c r="H8" s="95"/>
      <c r="I8" s="95"/>
      <c r="J8" s="95"/>
      <c r="K8" s="95"/>
      <c r="L8" s="95"/>
      <c r="M8" s="95"/>
      <c r="N8" s="95"/>
      <c r="O8" s="95"/>
      <c r="P8" s="95"/>
      <c r="Q8" s="95"/>
      <c r="R8" s="95"/>
      <c r="S8" s="95"/>
      <c r="T8" s="95"/>
      <c r="U8" s="95"/>
      <c r="V8" s="95"/>
      <c r="W8" s="95"/>
      <c r="X8" s="95"/>
    </row>
    <row r="9">
      <c r="A9" s="90">
        <v>46134.0</v>
      </c>
      <c r="B9" s="91">
        <v>0.47476851851851853</v>
      </c>
      <c r="C9" s="92" t="s">
        <v>1666</v>
      </c>
      <c r="D9" s="93" t="s">
        <v>1667</v>
      </c>
      <c r="E9" s="94">
        <v>0.0</v>
      </c>
      <c r="F9" s="94">
        <v>0.0</v>
      </c>
      <c r="G9" s="92" t="s">
        <v>1652</v>
      </c>
      <c r="H9" s="95"/>
      <c r="I9" s="95"/>
      <c r="J9" s="95"/>
      <c r="K9" s="95"/>
      <c r="L9" s="95"/>
      <c r="M9" s="95"/>
      <c r="N9" s="95"/>
      <c r="O9" s="95"/>
      <c r="P9" s="95"/>
      <c r="Q9" s="95"/>
      <c r="R9" s="95"/>
      <c r="S9" s="95"/>
      <c r="T9" s="95"/>
      <c r="U9" s="95"/>
      <c r="V9" s="95"/>
      <c r="W9" s="95"/>
      <c r="X9" s="95"/>
    </row>
    <row r="10">
      <c r="A10" s="90">
        <v>46134.0</v>
      </c>
      <c r="B10" s="91">
        <v>0.47501157407407407</v>
      </c>
      <c r="C10" s="92" t="s">
        <v>1666</v>
      </c>
      <c r="D10" s="93" t="s">
        <v>1668</v>
      </c>
      <c r="E10" s="94">
        <v>6481.0</v>
      </c>
      <c r="F10" s="94">
        <v>357.0</v>
      </c>
      <c r="G10" s="92" t="s">
        <v>1652</v>
      </c>
      <c r="H10" s="95"/>
      <c r="I10" s="95"/>
      <c r="J10" s="95"/>
      <c r="K10" s="95"/>
      <c r="L10" s="95"/>
      <c r="M10" s="95"/>
      <c r="N10" s="95"/>
      <c r="O10" s="95"/>
      <c r="P10" s="95"/>
      <c r="Q10" s="95"/>
      <c r="R10" s="95"/>
      <c r="S10" s="95"/>
      <c r="T10" s="95"/>
      <c r="U10" s="95"/>
      <c r="V10" s="95"/>
      <c r="W10" s="95"/>
      <c r="X10" s="95"/>
    </row>
    <row r="11">
      <c r="A11" s="90">
        <v>46134.0</v>
      </c>
      <c r="B11" s="91">
        <v>0.4804861111111111</v>
      </c>
      <c r="C11" s="92" t="s">
        <v>1669</v>
      </c>
      <c r="D11" s="93" t="s">
        <v>1670</v>
      </c>
      <c r="E11" s="94">
        <v>0.0</v>
      </c>
      <c r="F11" s="94">
        <v>0.0</v>
      </c>
      <c r="G11" s="95"/>
      <c r="H11" s="95"/>
      <c r="I11" s="95"/>
      <c r="J11" s="95"/>
      <c r="K11" s="95"/>
      <c r="L11" s="95"/>
      <c r="M11" s="95"/>
      <c r="N11" s="95"/>
      <c r="O11" s="95"/>
      <c r="P11" s="95"/>
      <c r="Q11" s="95"/>
      <c r="R11" s="95"/>
      <c r="S11" s="95"/>
      <c r="T11" s="95"/>
      <c r="U11" s="95"/>
      <c r="V11" s="95"/>
      <c r="W11" s="95"/>
      <c r="X11" s="95"/>
    </row>
    <row r="12">
      <c r="A12" s="90">
        <v>46134.0</v>
      </c>
      <c r="B12" s="91">
        <v>0.4805787037037037</v>
      </c>
      <c r="C12" s="92" t="s">
        <v>1671</v>
      </c>
      <c r="D12" s="93" t="s">
        <v>1672</v>
      </c>
      <c r="E12" s="94">
        <v>0.0</v>
      </c>
      <c r="F12" s="94">
        <v>0.0</v>
      </c>
      <c r="G12" s="95"/>
      <c r="H12" s="95"/>
      <c r="I12" s="95"/>
      <c r="J12" s="95"/>
      <c r="K12" s="95"/>
      <c r="L12" s="95"/>
      <c r="M12" s="95"/>
      <c r="N12" s="95"/>
      <c r="O12" s="95"/>
      <c r="P12" s="95"/>
      <c r="Q12" s="95"/>
      <c r="R12" s="95"/>
      <c r="S12" s="95"/>
      <c r="T12" s="95"/>
      <c r="U12" s="95"/>
      <c r="V12" s="95"/>
      <c r="W12" s="95"/>
      <c r="X12" s="95"/>
    </row>
    <row r="13">
      <c r="A13" s="90">
        <v>46134.0</v>
      </c>
      <c r="B13" s="91">
        <v>0.48125</v>
      </c>
      <c r="C13" s="92" t="s">
        <v>1673</v>
      </c>
      <c r="D13" s="93" t="s">
        <v>1674</v>
      </c>
      <c r="E13" s="94">
        <v>6282.0</v>
      </c>
      <c r="F13" s="94">
        <v>266.0</v>
      </c>
      <c r="G13" s="95"/>
      <c r="H13" s="95"/>
      <c r="I13" s="95"/>
      <c r="J13" s="95"/>
      <c r="K13" s="95"/>
      <c r="L13" s="95"/>
      <c r="M13" s="95"/>
      <c r="N13" s="95"/>
      <c r="O13" s="95"/>
      <c r="P13" s="95"/>
      <c r="Q13" s="95"/>
      <c r="R13" s="95"/>
      <c r="S13" s="95"/>
      <c r="T13" s="95"/>
      <c r="U13" s="95"/>
      <c r="V13" s="95"/>
      <c r="W13" s="95"/>
      <c r="X13" s="95"/>
    </row>
    <row r="14">
      <c r="A14" s="90">
        <v>46134.0</v>
      </c>
      <c r="B14" s="91">
        <v>0.4820023148148148</v>
      </c>
      <c r="C14" s="92" t="s">
        <v>1675</v>
      </c>
      <c r="D14" s="93" t="s">
        <v>1676</v>
      </c>
      <c r="E14" s="94">
        <v>6132.0</v>
      </c>
      <c r="F14" s="94">
        <v>217.0</v>
      </c>
      <c r="G14" s="95"/>
      <c r="H14" s="95"/>
      <c r="I14" s="95"/>
      <c r="J14" s="95"/>
      <c r="K14" s="95"/>
      <c r="L14" s="95"/>
      <c r="M14" s="95"/>
      <c r="N14" s="95"/>
      <c r="O14" s="95"/>
      <c r="P14" s="95"/>
      <c r="Q14" s="95"/>
      <c r="R14" s="95"/>
      <c r="S14" s="95"/>
      <c r="T14" s="95"/>
      <c r="U14" s="95"/>
      <c r="V14" s="95"/>
      <c r="W14" s="95"/>
      <c r="X14" s="95"/>
    </row>
    <row r="15">
      <c r="A15" s="90">
        <v>46134.0</v>
      </c>
      <c r="B15" s="91">
        <v>0.4820949074074074</v>
      </c>
      <c r="C15" s="92" t="s">
        <v>1677</v>
      </c>
      <c r="D15" s="93" t="s">
        <v>1678</v>
      </c>
      <c r="E15" s="94">
        <v>992.0</v>
      </c>
      <c r="F15" s="94">
        <v>278.0</v>
      </c>
      <c r="G15" s="95"/>
      <c r="H15" s="95"/>
      <c r="I15" s="95"/>
      <c r="J15" s="95"/>
      <c r="K15" s="95"/>
      <c r="L15" s="95"/>
      <c r="M15" s="95"/>
      <c r="N15" s="95"/>
      <c r="O15" s="95"/>
      <c r="P15" s="95"/>
      <c r="Q15" s="95"/>
      <c r="R15" s="95"/>
      <c r="S15" s="95"/>
      <c r="T15" s="95"/>
      <c r="U15" s="95"/>
      <c r="V15" s="95"/>
      <c r="W15" s="95"/>
      <c r="X15" s="95"/>
    </row>
    <row r="16">
      <c r="A16" s="90">
        <v>46134.0</v>
      </c>
      <c r="B16" s="91">
        <v>0.4821990740740741</v>
      </c>
      <c r="C16" s="92" t="s">
        <v>1679</v>
      </c>
      <c r="D16" s="93" t="s">
        <v>1680</v>
      </c>
      <c r="E16" s="94">
        <v>6384.0</v>
      </c>
      <c r="F16" s="94">
        <v>356.0</v>
      </c>
      <c r="G16" s="95"/>
      <c r="H16" s="95"/>
      <c r="I16" s="95"/>
      <c r="J16" s="95"/>
      <c r="K16" s="95"/>
      <c r="L16" s="95"/>
      <c r="M16" s="95"/>
      <c r="N16" s="95"/>
      <c r="O16" s="95"/>
      <c r="P16" s="95"/>
      <c r="Q16" s="95"/>
      <c r="R16" s="95"/>
      <c r="S16" s="95"/>
      <c r="T16" s="95"/>
      <c r="U16" s="95"/>
      <c r="V16" s="95"/>
      <c r="W16" s="95"/>
      <c r="X16" s="95"/>
    </row>
    <row r="17">
      <c r="A17" s="90">
        <v>46134.0</v>
      </c>
      <c r="B17" s="91">
        <v>0.4824074074074074</v>
      </c>
      <c r="C17" s="92" t="s">
        <v>1681</v>
      </c>
      <c r="D17" s="93" t="s">
        <v>1682</v>
      </c>
      <c r="E17" s="94">
        <v>6663.0</v>
      </c>
      <c r="F17" s="94">
        <v>516.0</v>
      </c>
      <c r="G17" s="95"/>
      <c r="H17" s="95"/>
      <c r="I17" s="95"/>
      <c r="J17" s="95"/>
      <c r="K17" s="95"/>
      <c r="L17" s="95"/>
      <c r="M17" s="95"/>
      <c r="N17" s="95"/>
      <c r="O17" s="95"/>
      <c r="P17" s="95"/>
      <c r="Q17" s="95"/>
      <c r="R17" s="95"/>
      <c r="S17" s="95"/>
      <c r="T17" s="95"/>
      <c r="U17" s="95"/>
      <c r="V17" s="95"/>
      <c r="W17" s="95"/>
      <c r="X17" s="95"/>
    </row>
    <row r="18">
      <c r="A18" s="90">
        <v>46134.0</v>
      </c>
      <c r="B18" s="91">
        <v>0.48290509259259257</v>
      </c>
      <c r="C18" s="92" t="s">
        <v>1683</v>
      </c>
      <c r="D18" s="93" t="s">
        <v>1684</v>
      </c>
      <c r="E18" s="94">
        <v>0.0</v>
      </c>
      <c r="F18" s="94">
        <v>0.0</v>
      </c>
      <c r="G18" s="95"/>
      <c r="H18" s="95"/>
      <c r="I18" s="95"/>
      <c r="J18" s="95"/>
      <c r="K18" s="95"/>
      <c r="L18" s="95"/>
      <c r="M18" s="95"/>
      <c r="N18" s="95"/>
      <c r="O18" s="95"/>
      <c r="P18" s="95"/>
      <c r="Q18" s="95"/>
      <c r="R18" s="95"/>
      <c r="S18" s="95"/>
      <c r="T18" s="95"/>
      <c r="U18" s="95"/>
      <c r="V18" s="95"/>
      <c r="W18" s="95"/>
      <c r="X18" s="95"/>
    </row>
    <row r="19">
      <c r="A19" s="90">
        <v>46134.0</v>
      </c>
      <c r="B19" s="91">
        <v>0.4829861111111111</v>
      </c>
      <c r="C19" s="92" t="s">
        <v>1685</v>
      </c>
      <c r="D19" s="93" t="s">
        <v>1684</v>
      </c>
      <c r="E19" s="94">
        <v>0.0</v>
      </c>
      <c r="F19" s="94">
        <v>0.0</v>
      </c>
      <c r="G19" s="95"/>
      <c r="H19" s="95"/>
      <c r="I19" s="95"/>
      <c r="J19" s="95"/>
      <c r="K19" s="95"/>
      <c r="L19" s="95"/>
      <c r="M19" s="95"/>
      <c r="N19" s="95"/>
      <c r="O19" s="95"/>
      <c r="P19" s="95"/>
      <c r="Q19" s="95"/>
      <c r="R19" s="95"/>
      <c r="S19" s="95"/>
      <c r="T19" s="95"/>
      <c r="U19" s="95"/>
      <c r="V19" s="95"/>
      <c r="W19" s="95"/>
      <c r="X19" s="95"/>
    </row>
    <row r="20">
      <c r="A20" s="90">
        <v>46134.0</v>
      </c>
      <c r="B20" s="91">
        <v>0.48313657407407407</v>
      </c>
      <c r="C20" s="92" t="s">
        <v>1686</v>
      </c>
      <c r="D20" s="93" t="s">
        <v>1687</v>
      </c>
      <c r="E20" s="94">
        <v>6468.0</v>
      </c>
      <c r="F20" s="94">
        <v>59.0</v>
      </c>
      <c r="G20" s="95"/>
      <c r="H20" s="95"/>
      <c r="I20" s="95"/>
      <c r="J20" s="95"/>
      <c r="K20" s="95"/>
      <c r="L20" s="95"/>
      <c r="M20" s="95"/>
      <c r="N20" s="95"/>
      <c r="O20" s="95"/>
      <c r="P20" s="95"/>
      <c r="Q20" s="95"/>
      <c r="R20" s="95"/>
      <c r="S20" s="95"/>
      <c r="T20" s="95"/>
      <c r="U20" s="95"/>
      <c r="V20" s="95"/>
      <c r="W20" s="95"/>
      <c r="X20" s="95"/>
    </row>
    <row r="21">
      <c r="A21" s="90">
        <v>46134.0</v>
      </c>
      <c r="B21" s="91">
        <v>0.4885069444444444</v>
      </c>
      <c r="C21" s="92" t="s">
        <v>1688</v>
      </c>
      <c r="D21" s="93" t="s">
        <v>1689</v>
      </c>
      <c r="E21" s="94">
        <v>6071.0</v>
      </c>
      <c r="F21" s="94">
        <v>1254.0</v>
      </c>
      <c r="G21" s="95"/>
      <c r="H21" s="95"/>
      <c r="I21" s="95"/>
      <c r="J21" s="95"/>
      <c r="K21" s="95"/>
      <c r="L21" s="95"/>
      <c r="M21" s="95"/>
      <c r="N21" s="95"/>
      <c r="O21" s="95"/>
      <c r="P21" s="95"/>
      <c r="Q21" s="95"/>
      <c r="R21" s="95"/>
      <c r="S21" s="95"/>
      <c r="T21" s="95"/>
      <c r="U21" s="95"/>
      <c r="V21" s="95"/>
      <c r="W21" s="95"/>
      <c r="X21" s="95"/>
    </row>
    <row r="22">
      <c r="A22" s="90">
        <v>46134.0</v>
      </c>
      <c r="B22" s="91">
        <v>0.48877314814814815</v>
      </c>
      <c r="C22" s="92" t="s">
        <v>1690</v>
      </c>
      <c r="D22" s="93" t="s">
        <v>1691</v>
      </c>
      <c r="E22" s="94">
        <v>6809.0</v>
      </c>
      <c r="F22" s="94">
        <v>1750.0</v>
      </c>
      <c r="G22" s="95"/>
      <c r="H22" s="95"/>
      <c r="I22" s="95"/>
      <c r="J22" s="95"/>
      <c r="K22" s="95"/>
      <c r="L22" s="95"/>
      <c r="M22" s="95"/>
      <c r="N22" s="95"/>
      <c r="O22" s="95"/>
      <c r="P22" s="95"/>
      <c r="Q22" s="95"/>
      <c r="R22" s="95"/>
      <c r="S22" s="95"/>
      <c r="T22" s="95"/>
      <c r="U22" s="95"/>
      <c r="V22" s="95"/>
      <c r="W22" s="95"/>
      <c r="X22" s="95"/>
    </row>
    <row r="23">
      <c r="A23" s="90">
        <v>46134.0</v>
      </c>
      <c r="B23" s="91">
        <v>0.4891898148148148</v>
      </c>
      <c r="C23" s="92" t="s">
        <v>1692</v>
      </c>
      <c r="D23" s="93" t="s">
        <v>1693</v>
      </c>
      <c r="E23" s="94">
        <v>6340.0</v>
      </c>
      <c r="F23" s="94">
        <v>1340.0</v>
      </c>
      <c r="G23" s="95"/>
      <c r="H23" s="95"/>
      <c r="I23" s="95"/>
      <c r="J23" s="95"/>
      <c r="K23" s="95"/>
      <c r="L23" s="95"/>
      <c r="M23" s="95"/>
      <c r="N23" s="95"/>
      <c r="O23" s="95"/>
      <c r="P23" s="95"/>
      <c r="Q23" s="95"/>
      <c r="R23" s="95"/>
      <c r="S23" s="95"/>
      <c r="T23" s="95"/>
      <c r="U23" s="95"/>
      <c r="V23" s="95"/>
      <c r="W23" s="95"/>
      <c r="X23" s="95"/>
    </row>
    <row r="24">
      <c r="A24" s="90">
        <v>46134.0</v>
      </c>
      <c r="B24" s="91">
        <v>0.4894675925925926</v>
      </c>
      <c r="C24" s="92" t="s">
        <v>1694</v>
      </c>
      <c r="D24" s="93" t="s">
        <v>1695</v>
      </c>
      <c r="E24" s="94">
        <v>6406.0</v>
      </c>
      <c r="F24" s="94">
        <v>834.0</v>
      </c>
      <c r="G24" s="92"/>
      <c r="H24" s="95"/>
      <c r="I24" s="95"/>
      <c r="J24" s="95"/>
      <c r="K24" s="95"/>
      <c r="L24" s="95"/>
      <c r="M24" s="95"/>
      <c r="N24" s="95"/>
      <c r="O24" s="95"/>
      <c r="P24" s="95"/>
      <c r="Q24" s="95"/>
      <c r="R24" s="95"/>
      <c r="S24" s="95"/>
      <c r="T24" s="95"/>
      <c r="U24" s="95"/>
      <c r="V24" s="95"/>
      <c r="W24" s="95"/>
      <c r="X24" s="95"/>
    </row>
    <row r="25">
      <c r="A25" s="90">
        <v>46134.0</v>
      </c>
      <c r="B25" s="91">
        <v>0.5311226851851852</v>
      </c>
      <c r="C25" s="92" t="s">
        <v>1696</v>
      </c>
      <c r="D25" s="93" t="s">
        <v>1697</v>
      </c>
      <c r="E25" s="94">
        <v>5857.0</v>
      </c>
      <c r="F25" s="94">
        <v>27.0</v>
      </c>
      <c r="G25" s="92"/>
      <c r="H25" s="95"/>
      <c r="I25" s="95"/>
      <c r="J25" s="95"/>
      <c r="K25" s="95"/>
      <c r="L25" s="95"/>
      <c r="M25" s="95"/>
      <c r="N25" s="95"/>
      <c r="O25" s="95"/>
      <c r="P25" s="95"/>
      <c r="Q25" s="95"/>
      <c r="R25" s="95"/>
      <c r="S25" s="95"/>
      <c r="T25" s="95"/>
      <c r="U25" s="95"/>
      <c r="V25" s="95"/>
      <c r="W25" s="95"/>
      <c r="X25" s="95"/>
    </row>
    <row r="26">
      <c r="A26" s="90">
        <v>46134.0</v>
      </c>
      <c r="B26" s="91">
        <v>0.5313310185185185</v>
      </c>
      <c r="C26" s="92" t="s">
        <v>1698</v>
      </c>
      <c r="D26" s="93" t="s">
        <v>1697</v>
      </c>
      <c r="E26" s="94">
        <v>6257.0</v>
      </c>
      <c r="F26" s="94">
        <v>27.0</v>
      </c>
      <c r="G26" s="95"/>
      <c r="H26" s="95"/>
      <c r="I26" s="95"/>
      <c r="J26" s="95"/>
      <c r="K26" s="95"/>
      <c r="L26" s="95"/>
      <c r="M26" s="95"/>
      <c r="N26" s="95"/>
      <c r="O26" s="95"/>
      <c r="P26" s="95"/>
      <c r="Q26" s="95"/>
      <c r="R26" s="95"/>
      <c r="S26" s="95"/>
      <c r="T26" s="95"/>
      <c r="U26" s="95"/>
      <c r="V26" s="95"/>
      <c r="W26" s="95"/>
      <c r="X26" s="95"/>
    </row>
    <row r="27">
      <c r="A27" s="90">
        <v>46134.0</v>
      </c>
      <c r="B27" s="91">
        <v>0.5314583333333334</v>
      </c>
      <c r="C27" s="92" t="s">
        <v>1699</v>
      </c>
      <c r="D27" s="93" t="s">
        <v>1697</v>
      </c>
      <c r="E27" s="94">
        <v>5954.0</v>
      </c>
      <c r="F27" s="94">
        <v>27.0</v>
      </c>
      <c r="G27" s="92"/>
      <c r="H27" s="95"/>
      <c r="I27" s="95"/>
      <c r="J27" s="95"/>
      <c r="K27" s="95"/>
      <c r="L27" s="95"/>
      <c r="M27" s="95"/>
      <c r="N27" s="95"/>
      <c r="O27" s="95"/>
      <c r="P27" s="95"/>
      <c r="Q27" s="95"/>
      <c r="R27" s="95"/>
      <c r="S27" s="95"/>
      <c r="T27" s="95"/>
      <c r="U27" s="95"/>
      <c r="V27" s="95"/>
      <c r="W27" s="95"/>
      <c r="X27" s="95"/>
    </row>
    <row r="28">
      <c r="A28" s="90">
        <v>46134.0</v>
      </c>
      <c r="B28" s="91">
        <v>0.5317592592592593</v>
      </c>
      <c r="C28" s="92" t="s">
        <v>1700</v>
      </c>
      <c r="D28" s="93" t="s">
        <v>1697</v>
      </c>
      <c r="E28" s="94">
        <v>5856.0</v>
      </c>
      <c r="F28" s="94">
        <v>27.0</v>
      </c>
      <c r="G28" s="95"/>
      <c r="H28" s="95"/>
      <c r="I28" s="95"/>
      <c r="J28" s="95"/>
      <c r="K28" s="95"/>
      <c r="L28" s="95"/>
      <c r="M28" s="95"/>
      <c r="N28" s="95"/>
      <c r="O28" s="95"/>
      <c r="P28" s="95"/>
      <c r="Q28" s="95"/>
      <c r="R28" s="95"/>
      <c r="S28" s="95"/>
      <c r="T28" s="95"/>
      <c r="U28" s="95"/>
      <c r="V28" s="95"/>
      <c r="W28" s="95"/>
      <c r="X28" s="95"/>
    </row>
    <row r="29">
      <c r="A29" s="90">
        <v>46134.0</v>
      </c>
      <c r="B29" s="91">
        <v>0.5330555555555555</v>
      </c>
      <c r="C29" s="92" t="s">
        <v>1701</v>
      </c>
      <c r="D29" s="93" t="s">
        <v>1702</v>
      </c>
      <c r="E29" s="94">
        <v>6250.0</v>
      </c>
      <c r="F29" s="94">
        <v>281.0</v>
      </c>
      <c r="G29" s="95"/>
      <c r="H29" s="95"/>
      <c r="I29" s="95"/>
      <c r="J29" s="95"/>
      <c r="K29" s="95"/>
      <c r="L29" s="95"/>
      <c r="M29" s="95"/>
      <c r="N29" s="95"/>
      <c r="O29" s="95"/>
      <c r="P29" s="95"/>
      <c r="Q29" s="95"/>
      <c r="R29" s="95"/>
      <c r="S29" s="95"/>
      <c r="T29" s="95"/>
      <c r="U29" s="95"/>
      <c r="V29" s="95"/>
      <c r="W29" s="95"/>
      <c r="X29" s="95"/>
    </row>
    <row r="30">
      <c r="A30" s="90">
        <v>46134.0</v>
      </c>
      <c r="B30" s="91">
        <v>0.5332175925925926</v>
      </c>
      <c r="C30" s="92" t="s">
        <v>1703</v>
      </c>
      <c r="D30" s="93" t="s">
        <v>1704</v>
      </c>
      <c r="E30" s="94">
        <v>6377.0</v>
      </c>
      <c r="F30" s="94">
        <v>217.0</v>
      </c>
      <c r="G30" s="95"/>
      <c r="H30" s="95"/>
      <c r="I30" s="95"/>
      <c r="J30" s="95"/>
      <c r="K30" s="95"/>
      <c r="L30" s="95"/>
      <c r="M30" s="95"/>
      <c r="N30" s="95"/>
      <c r="O30" s="95"/>
      <c r="P30" s="95"/>
      <c r="Q30" s="95"/>
      <c r="R30" s="95"/>
      <c r="S30" s="95"/>
      <c r="T30" s="95"/>
      <c r="U30" s="95"/>
      <c r="V30" s="95"/>
      <c r="W30" s="95"/>
      <c r="X30" s="95"/>
    </row>
    <row r="31">
      <c r="A31" s="90">
        <v>46134.0</v>
      </c>
      <c r="B31" s="91">
        <v>0.5334143518518518</v>
      </c>
      <c r="C31" s="92" t="s">
        <v>1705</v>
      </c>
      <c r="D31" s="93" t="s">
        <v>1706</v>
      </c>
      <c r="E31" s="94">
        <v>6792.0</v>
      </c>
      <c r="F31" s="94">
        <v>434.0</v>
      </c>
      <c r="G31" s="92"/>
      <c r="H31" s="95"/>
      <c r="I31" s="95"/>
      <c r="J31" s="95"/>
      <c r="K31" s="95"/>
      <c r="L31" s="95"/>
      <c r="M31" s="95"/>
      <c r="N31" s="95"/>
      <c r="O31" s="95"/>
      <c r="P31" s="95"/>
      <c r="Q31" s="95"/>
      <c r="R31" s="95"/>
      <c r="S31" s="95"/>
      <c r="T31" s="95"/>
      <c r="U31" s="95"/>
      <c r="V31" s="95"/>
      <c r="W31" s="95"/>
      <c r="X31" s="95"/>
    </row>
    <row r="32">
      <c r="A32" s="90">
        <v>46134.0</v>
      </c>
      <c r="B32" s="91">
        <v>0.5475694444444444</v>
      </c>
      <c r="C32" s="92" t="s">
        <v>1707</v>
      </c>
      <c r="D32" s="93" t="s">
        <v>1708</v>
      </c>
      <c r="E32" s="94">
        <v>0.0</v>
      </c>
      <c r="F32" s="94">
        <v>0.0</v>
      </c>
      <c r="G32" s="92"/>
      <c r="H32" s="95"/>
      <c r="I32" s="95"/>
      <c r="J32" s="95"/>
      <c r="K32" s="95"/>
      <c r="L32" s="95"/>
      <c r="M32" s="95"/>
      <c r="N32" s="95"/>
      <c r="O32" s="95"/>
      <c r="P32" s="95"/>
      <c r="Q32" s="95"/>
      <c r="R32" s="95"/>
      <c r="S32" s="95"/>
      <c r="T32" s="95"/>
      <c r="U32" s="95"/>
      <c r="V32" s="95"/>
      <c r="W32" s="95"/>
      <c r="X32" s="95"/>
    </row>
    <row r="33">
      <c r="A33" s="90">
        <v>46134.0</v>
      </c>
      <c r="B33" s="91">
        <v>0.5478125</v>
      </c>
      <c r="C33" s="92" t="s">
        <v>1709</v>
      </c>
      <c r="D33" s="93" t="s">
        <v>1710</v>
      </c>
      <c r="E33" s="94">
        <v>14498.0</v>
      </c>
      <c r="F33" s="94">
        <v>357.0</v>
      </c>
      <c r="G33" s="92" t="s">
        <v>1652</v>
      </c>
      <c r="H33" s="95"/>
      <c r="I33" s="95"/>
      <c r="J33" s="95"/>
      <c r="K33" s="95"/>
      <c r="L33" s="95"/>
      <c r="M33" s="95"/>
      <c r="N33" s="95"/>
      <c r="O33" s="95"/>
      <c r="P33" s="95"/>
      <c r="Q33" s="95"/>
      <c r="R33" s="95"/>
      <c r="S33" s="95"/>
      <c r="T33" s="95"/>
      <c r="U33" s="95"/>
      <c r="V33" s="95"/>
      <c r="W33" s="95"/>
      <c r="X33" s="95"/>
    </row>
    <row r="34">
      <c r="A34" s="90">
        <v>46134.0</v>
      </c>
      <c r="B34" s="91">
        <v>0.5484722222222222</v>
      </c>
      <c r="C34" s="92" t="s">
        <v>1711</v>
      </c>
      <c r="D34" s="93" t="s">
        <v>1712</v>
      </c>
      <c r="E34" s="94">
        <v>14726.0</v>
      </c>
      <c r="F34" s="94">
        <v>423.0</v>
      </c>
      <c r="G34" s="92" t="s">
        <v>1652</v>
      </c>
      <c r="H34" s="95"/>
      <c r="I34" s="95"/>
      <c r="J34" s="95"/>
      <c r="K34" s="95"/>
      <c r="L34" s="95"/>
      <c r="M34" s="95"/>
      <c r="N34" s="95"/>
      <c r="O34" s="95"/>
      <c r="P34" s="95"/>
      <c r="Q34" s="95"/>
      <c r="R34" s="95"/>
      <c r="S34" s="95"/>
      <c r="T34" s="95"/>
      <c r="U34" s="95"/>
      <c r="V34" s="95"/>
      <c r="W34" s="95"/>
      <c r="X34" s="95"/>
    </row>
    <row r="35">
      <c r="A35" s="90">
        <v>46134.0</v>
      </c>
      <c r="B35" s="91">
        <v>0.5488078703703704</v>
      </c>
      <c r="C35" s="92" t="s">
        <v>1713</v>
      </c>
      <c r="D35" s="93" t="s">
        <v>1714</v>
      </c>
      <c r="E35" s="94">
        <v>15379.0</v>
      </c>
      <c r="F35" s="94">
        <v>671.0</v>
      </c>
      <c r="G35" s="92" t="s">
        <v>1652</v>
      </c>
      <c r="H35" s="95"/>
      <c r="I35" s="95"/>
      <c r="J35" s="95"/>
      <c r="K35" s="95"/>
      <c r="L35" s="95"/>
      <c r="M35" s="95"/>
      <c r="N35" s="95"/>
      <c r="O35" s="95"/>
      <c r="P35" s="95"/>
      <c r="Q35" s="95"/>
      <c r="R35" s="95"/>
      <c r="S35" s="95"/>
      <c r="T35" s="95"/>
      <c r="U35" s="95"/>
      <c r="V35" s="95"/>
      <c r="W35" s="95"/>
      <c r="X35" s="95"/>
    </row>
    <row r="36">
      <c r="A36" s="90">
        <v>46134.0</v>
      </c>
      <c r="B36" s="91">
        <v>0.5491435185185185</v>
      </c>
      <c r="C36" s="92" t="s">
        <v>1715</v>
      </c>
      <c r="D36" s="93" t="s">
        <v>1716</v>
      </c>
      <c r="E36" s="94">
        <v>15222.0</v>
      </c>
      <c r="F36" s="94">
        <v>357.0</v>
      </c>
      <c r="G36" s="92" t="s">
        <v>1652</v>
      </c>
      <c r="H36" s="95"/>
      <c r="I36" s="95"/>
      <c r="J36" s="95"/>
      <c r="K36" s="95"/>
      <c r="L36" s="95"/>
      <c r="M36" s="95"/>
      <c r="N36" s="95"/>
      <c r="O36" s="95"/>
      <c r="P36" s="95"/>
      <c r="Q36" s="95"/>
      <c r="R36" s="95"/>
      <c r="S36" s="95"/>
      <c r="T36" s="95"/>
      <c r="U36" s="95"/>
      <c r="V36" s="95"/>
      <c r="W36" s="95"/>
      <c r="X36" s="95"/>
    </row>
    <row r="37">
      <c r="A37" s="90">
        <v>46134.0</v>
      </c>
      <c r="B37" s="91">
        <v>0.5494328703703704</v>
      </c>
      <c r="C37" s="92" t="s">
        <v>1717</v>
      </c>
      <c r="D37" s="93" t="s">
        <v>1718</v>
      </c>
      <c r="E37" s="94">
        <v>15540.0</v>
      </c>
      <c r="F37" s="94">
        <v>753.0</v>
      </c>
      <c r="G37" s="95"/>
      <c r="H37" s="95"/>
      <c r="I37" s="95"/>
      <c r="J37" s="95"/>
      <c r="K37" s="95"/>
      <c r="L37" s="95"/>
      <c r="M37" s="95"/>
      <c r="N37" s="95"/>
      <c r="O37" s="95"/>
      <c r="P37" s="95"/>
      <c r="Q37" s="95"/>
      <c r="R37" s="95"/>
      <c r="S37" s="95"/>
      <c r="T37" s="95"/>
      <c r="U37" s="95"/>
      <c r="V37" s="95"/>
      <c r="W37" s="95"/>
      <c r="X37" s="95"/>
    </row>
    <row r="38">
      <c r="A38" s="90">
        <v>46134.0</v>
      </c>
      <c r="B38" s="91">
        <v>0.5508796296296297</v>
      </c>
      <c r="C38" s="92" t="s">
        <v>1719</v>
      </c>
      <c r="D38" s="93" t="s">
        <v>1720</v>
      </c>
      <c r="E38" s="94">
        <v>14697.0</v>
      </c>
      <c r="F38" s="94">
        <v>356.0</v>
      </c>
      <c r="G38" s="95"/>
      <c r="H38" s="95"/>
      <c r="I38" s="95"/>
      <c r="J38" s="95"/>
      <c r="K38" s="95"/>
      <c r="L38" s="95"/>
      <c r="M38" s="95"/>
      <c r="N38" s="95"/>
      <c r="O38" s="95"/>
      <c r="P38" s="95"/>
      <c r="Q38" s="95"/>
      <c r="R38" s="95"/>
      <c r="S38" s="95"/>
      <c r="T38" s="95"/>
      <c r="U38" s="95"/>
      <c r="V38" s="95"/>
      <c r="W38" s="95"/>
      <c r="X38" s="95"/>
    </row>
    <row r="39">
      <c r="A39" s="90">
        <v>46134.0</v>
      </c>
      <c r="B39" s="91">
        <v>0.5608101851851852</v>
      </c>
      <c r="C39" s="92" t="s">
        <v>1721</v>
      </c>
      <c r="D39" s="93" t="s">
        <v>1722</v>
      </c>
      <c r="E39" s="94">
        <v>13443.0</v>
      </c>
      <c r="F39" s="94">
        <v>286.0</v>
      </c>
      <c r="G39" s="95"/>
      <c r="H39" s="95"/>
      <c r="I39" s="95"/>
      <c r="J39" s="95"/>
      <c r="K39" s="95"/>
      <c r="L39" s="95"/>
      <c r="M39" s="95"/>
      <c r="N39" s="95"/>
      <c r="O39" s="95"/>
      <c r="P39" s="95"/>
      <c r="Q39" s="95"/>
      <c r="R39" s="95"/>
      <c r="S39" s="95"/>
      <c r="T39" s="95"/>
      <c r="U39" s="95"/>
      <c r="V39" s="95"/>
      <c r="W39" s="95"/>
      <c r="X39" s="95"/>
    </row>
    <row r="40">
      <c r="A40" s="90">
        <v>46134.0</v>
      </c>
      <c r="B40" s="91">
        <v>0.5712268518518518</v>
      </c>
      <c r="C40" s="92" t="s">
        <v>1723</v>
      </c>
      <c r="D40" s="93" t="s">
        <v>1724</v>
      </c>
      <c r="E40" s="94">
        <v>13275.0</v>
      </c>
      <c r="F40" s="94">
        <v>785.0</v>
      </c>
      <c r="G40" s="95"/>
      <c r="H40" s="95"/>
      <c r="I40" s="95"/>
      <c r="J40" s="95"/>
      <c r="K40" s="95"/>
      <c r="L40" s="95"/>
      <c r="M40" s="95"/>
      <c r="N40" s="95"/>
      <c r="O40" s="95"/>
      <c r="P40" s="95"/>
      <c r="Q40" s="95"/>
      <c r="R40" s="95"/>
      <c r="S40" s="95"/>
      <c r="T40" s="95"/>
      <c r="U40" s="95"/>
      <c r="V40" s="95"/>
      <c r="W40" s="95"/>
      <c r="X40" s="95"/>
    </row>
    <row r="41">
      <c r="A41" s="90">
        <v>46134.0</v>
      </c>
      <c r="B41" s="91">
        <v>0.5714467592592593</v>
      </c>
      <c r="C41" s="92" t="s">
        <v>1725</v>
      </c>
      <c r="D41" s="93" t="s">
        <v>1726</v>
      </c>
      <c r="E41" s="94">
        <v>14080.0</v>
      </c>
      <c r="F41" s="94">
        <v>752.0</v>
      </c>
      <c r="G41" s="95"/>
      <c r="H41" s="95"/>
      <c r="I41" s="95"/>
      <c r="J41" s="95"/>
      <c r="K41" s="95"/>
      <c r="L41" s="95"/>
      <c r="M41" s="95"/>
      <c r="N41" s="95"/>
      <c r="O41" s="95"/>
      <c r="P41" s="95"/>
      <c r="Q41" s="95"/>
      <c r="R41" s="95"/>
      <c r="S41" s="95"/>
      <c r="T41" s="95"/>
      <c r="U41" s="95"/>
      <c r="V41" s="95"/>
      <c r="W41" s="95"/>
      <c r="X41" s="95"/>
    </row>
    <row r="42">
      <c r="A42" s="90">
        <v>46134.0</v>
      </c>
      <c r="B42" s="91">
        <v>0.5718171296296296</v>
      </c>
      <c r="C42" s="92" t="s">
        <v>1727</v>
      </c>
      <c r="D42" s="93" t="s">
        <v>1728</v>
      </c>
      <c r="E42" s="94">
        <v>0.0</v>
      </c>
      <c r="F42" s="94">
        <v>0.0</v>
      </c>
      <c r="G42" s="95"/>
      <c r="H42" s="95"/>
      <c r="I42" s="95"/>
      <c r="J42" s="95"/>
      <c r="K42" s="95"/>
      <c r="L42" s="95"/>
      <c r="M42" s="95"/>
      <c r="N42" s="95"/>
      <c r="O42" s="95"/>
      <c r="P42" s="95"/>
      <c r="Q42" s="95"/>
      <c r="R42" s="95"/>
      <c r="S42" s="95"/>
      <c r="T42" s="95"/>
      <c r="U42" s="95"/>
      <c r="V42" s="95"/>
      <c r="W42" s="95"/>
      <c r="X42" s="95"/>
    </row>
    <row r="43">
      <c r="A43" s="90">
        <v>46134.0</v>
      </c>
      <c r="B43" s="91">
        <v>0.572511574074074</v>
      </c>
      <c r="C43" s="92" t="s">
        <v>1727</v>
      </c>
      <c r="D43" s="93" t="s">
        <v>1729</v>
      </c>
      <c r="E43" s="94">
        <v>14737.0</v>
      </c>
      <c r="F43" s="94">
        <v>593.0</v>
      </c>
      <c r="G43" s="95"/>
      <c r="H43" s="95"/>
      <c r="I43" s="95"/>
      <c r="J43" s="95"/>
      <c r="K43" s="95"/>
      <c r="L43" s="95"/>
      <c r="M43" s="95"/>
      <c r="N43" s="95"/>
      <c r="O43" s="95"/>
      <c r="P43" s="95"/>
      <c r="Q43" s="95"/>
      <c r="R43" s="95"/>
      <c r="S43" s="95"/>
      <c r="T43" s="95"/>
      <c r="U43" s="95"/>
      <c r="V43" s="95"/>
      <c r="W43" s="95"/>
      <c r="X43" s="95"/>
    </row>
    <row r="44">
      <c r="A44" s="90">
        <v>46134.0</v>
      </c>
      <c r="B44" s="91">
        <v>0.5726967592592592</v>
      </c>
      <c r="C44" s="92" t="s">
        <v>1730</v>
      </c>
      <c r="D44" s="93" t="s">
        <v>1731</v>
      </c>
      <c r="E44" s="94">
        <v>13273.0</v>
      </c>
      <c r="F44" s="94">
        <v>922.0</v>
      </c>
      <c r="G44" s="92" t="s">
        <v>1652</v>
      </c>
      <c r="H44" s="95"/>
      <c r="I44" s="95"/>
      <c r="J44" s="95"/>
      <c r="K44" s="95"/>
      <c r="L44" s="95"/>
      <c r="M44" s="95"/>
      <c r="N44" s="95"/>
      <c r="O44" s="95"/>
      <c r="P44" s="95"/>
      <c r="Q44" s="95"/>
      <c r="R44" s="95"/>
      <c r="S44" s="95"/>
      <c r="T44" s="95"/>
      <c r="U44" s="95"/>
      <c r="V44" s="95"/>
      <c r="W44" s="95"/>
      <c r="X44" s="95"/>
    </row>
    <row r="45">
      <c r="A45" s="90">
        <v>46134.0</v>
      </c>
      <c r="B45" s="91">
        <v>0.573113425925926</v>
      </c>
      <c r="C45" s="92" t="s">
        <v>1732</v>
      </c>
      <c r="D45" s="93" t="s">
        <v>1733</v>
      </c>
      <c r="E45" s="94">
        <v>1984.0</v>
      </c>
      <c r="F45" s="94">
        <v>844.0</v>
      </c>
      <c r="G45" s="92" t="s">
        <v>1652</v>
      </c>
      <c r="H45" s="95"/>
      <c r="I45" s="95"/>
      <c r="J45" s="95"/>
      <c r="K45" s="95"/>
      <c r="L45" s="95"/>
      <c r="M45" s="95"/>
      <c r="N45" s="95"/>
      <c r="O45" s="95"/>
      <c r="P45" s="95"/>
      <c r="Q45" s="95"/>
      <c r="R45" s="95"/>
      <c r="S45" s="95"/>
      <c r="T45" s="95"/>
      <c r="U45" s="95"/>
      <c r="V45" s="95"/>
      <c r="W45" s="95"/>
      <c r="X45" s="95"/>
    </row>
    <row r="46">
      <c r="A46" s="90">
        <v>46134.0</v>
      </c>
      <c r="B46" s="91">
        <v>0.5743287037037037</v>
      </c>
      <c r="C46" s="92" t="s">
        <v>1734</v>
      </c>
      <c r="D46" s="93" t="s">
        <v>1735</v>
      </c>
      <c r="E46" s="94">
        <v>15061.0</v>
      </c>
      <c r="F46" s="94">
        <v>711.0</v>
      </c>
      <c r="G46" s="92" t="s">
        <v>1652</v>
      </c>
      <c r="H46" s="95"/>
      <c r="I46" s="95"/>
      <c r="J46" s="95"/>
      <c r="K46" s="95"/>
      <c r="L46" s="95"/>
      <c r="M46" s="95"/>
      <c r="N46" s="95"/>
      <c r="O46" s="95"/>
      <c r="P46" s="95"/>
      <c r="Q46" s="95"/>
      <c r="R46" s="95"/>
      <c r="S46" s="95"/>
      <c r="T46" s="95"/>
      <c r="U46" s="95"/>
      <c r="V46" s="95"/>
      <c r="W46" s="95"/>
      <c r="X46" s="95"/>
    </row>
    <row r="47">
      <c r="A47" s="90">
        <v>46134.0</v>
      </c>
      <c r="B47" s="91">
        <v>0.5749884259259259</v>
      </c>
      <c r="C47" s="92" t="s">
        <v>1736</v>
      </c>
      <c r="D47" s="93" t="s">
        <v>1737</v>
      </c>
      <c r="E47" s="94">
        <v>16450.0</v>
      </c>
      <c r="F47" s="94">
        <v>1022.0</v>
      </c>
      <c r="G47" s="92" t="s">
        <v>1652</v>
      </c>
      <c r="H47" s="95"/>
      <c r="I47" s="95"/>
      <c r="J47" s="95"/>
      <c r="K47" s="95"/>
      <c r="L47" s="95"/>
      <c r="M47" s="95"/>
      <c r="N47" s="95"/>
      <c r="O47" s="95"/>
      <c r="P47" s="95"/>
      <c r="Q47" s="95"/>
      <c r="R47" s="95"/>
      <c r="S47" s="95"/>
      <c r="T47" s="95"/>
      <c r="U47" s="95"/>
      <c r="V47" s="95"/>
      <c r="W47" s="95"/>
      <c r="X47" s="95"/>
    </row>
    <row r="48">
      <c r="A48" s="90">
        <v>46134.0</v>
      </c>
      <c r="B48" s="91">
        <v>0.5752199074074074</v>
      </c>
      <c r="C48" s="92" t="s">
        <v>1738</v>
      </c>
      <c r="D48" s="93" t="s">
        <v>1739</v>
      </c>
      <c r="E48" s="94">
        <v>15884.0</v>
      </c>
      <c r="F48" s="94">
        <v>1080.0</v>
      </c>
      <c r="G48" s="92" t="s">
        <v>1652</v>
      </c>
      <c r="H48" s="95"/>
      <c r="I48" s="95"/>
      <c r="J48" s="95"/>
      <c r="K48" s="95"/>
      <c r="L48" s="95"/>
      <c r="M48" s="95"/>
      <c r="N48" s="95"/>
      <c r="O48" s="95"/>
      <c r="P48" s="95"/>
      <c r="Q48" s="95"/>
      <c r="R48" s="95"/>
      <c r="S48" s="95"/>
      <c r="T48" s="95"/>
      <c r="U48" s="95"/>
      <c r="V48" s="95"/>
      <c r="W48" s="95"/>
      <c r="X48" s="95"/>
    </row>
    <row r="49">
      <c r="A49" s="90">
        <v>46134.0</v>
      </c>
      <c r="B49" s="91">
        <v>0.5756597222222222</v>
      </c>
      <c r="C49" s="92" t="s">
        <v>1740</v>
      </c>
      <c r="D49" s="93" t="s">
        <v>1741</v>
      </c>
      <c r="E49" s="94">
        <v>16112.0</v>
      </c>
      <c r="F49" s="94">
        <v>93.0</v>
      </c>
      <c r="G49" s="95"/>
      <c r="H49" s="95"/>
      <c r="I49" s="95"/>
      <c r="J49" s="95"/>
      <c r="K49" s="95"/>
      <c r="L49" s="95"/>
      <c r="M49" s="95"/>
      <c r="N49" s="95"/>
      <c r="O49" s="95"/>
      <c r="P49" s="95"/>
      <c r="Q49" s="95"/>
      <c r="R49" s="95"/>
      <c r="S49" s="95"/>
      <c r="T49" s="95"/>
      <c r="U49" s="95"/>
      <c r="V49" s="95"/>
      <c r="W49" s="95"/>
      <c r="X49" s="95"/>
    </row>
    <row r="50">
      <c r="A50" s="90">
        <v>46134.0</v>
      </c>
      <c r="B50" s="91">
        <v>0.5759375</v>
      </c>
      <c r="C50" s="92" t="s">
        <v>1743</v>
      </c>
      <c r="D50" s="93" t="s">
        <v>1744</v>
      </c>
      <c r="E50" s="94">
        <v>15293.0</v>
      </c>
      <c r="F50" s="94">
        <v>1039.0</v>
      </c>
      <c r="G50" s="95"/>
      <c r="H50" s="95"/>
      <c r="I50" s="95"/>
      <c r="J50" s="95"/>
      <c r="K50" s="95"/>
      <c r="L50" s="95"/>
      <c r="M50" s="95"/>
      <c r="N50" s="95"/>
      <c r="O50" s="95"/>
      <c r="P50" s="95"/>
      <c r="Q50" s="95"/>
      <c r="R50" s="95"/>
      <c r="S50" s="95"/>
      <c r="T50" s="95"/>
      <c r="U50" s="95"/>
      <c r="V50" s="95"/>
      <c r="W50" s="95"/>
      <c r="X50" s="95"/>
    </row>
    <row r="51">
      <c r="A51" s="90">
        <v>46134.0</v>
      </c>
      <c r="B51" s="91">
        <v>0.577037037037037</v>
      </c>
      <c r="C51" s="92" t="s">
        <v>1749</v>
      </c>
      <c r="D51" s="93" t="s">
        <v>1751</v>
      </c>
      <c r="E51" s="94">
        <v>16275.0</v>
      </c>
      <c r="F51" s="94">
        <v>347.0</v>
      </c>
      <c r="G51" s="95"/>
      <c r="H51" s="95"/>
      <c r="I51" s="95"/>
      <c r="J51" s="95"/>
      <c r="K51" s="95"/>
      <c r="L51" s="95"/>
      <c r="M51" s="95"/>
      <c r="N51" s="95"/>
      <c r="O51" s="95"/>
      <c r="P51" s="95"/>
      <c r="Q51" s="95"/>
      <c r="R51" s="95"/>
      <c r="S51" s="95"/>
      <c r="T51" s="95"/>
      <c r="U51" s="95"/>
      <c r="V51" s="95"/>
      <c r="W51" s="95"/>
      <c r="X51" s="95"/>
    </row>
    <row r="52">
      <c r="A52" s="90">
        <v>46134.0</v>
      </c>
      <c r="B52" s="91">
        <v>0.5774537037037037</v>
      </c>
      <c r="C52" s="92" t="s">
        <v>1750</v>
      </c>
      <c r="D52" s="93" t="s">
        <v>1762</v>
      </c>
      <c r="E52" s="94">
        <v>14620.0</v>
      </c>
      <c r="F52" s="94">
        <v>867.0</v>
      </c>
      <c r="G52" s="95"/>
      <c r="H52" s="95"/>
      <c r="I52" s="95"/>
      <c r="J52" s="95"/>
      <c r="K52" s="95"/>
      <c r="L52" s="95"/>
      <c r="M52" s="95"/>
      <c r="N52" s="95"/>
      <c r="O52" s="95"/>
      <c r="P52" s="95"/>
      <c r="Q52" s="95"/>
      <c r="R52" s="95"/>
      <c r="S52" s="95"/>
      <c r="T52" s="95"/>
      <c r="U52" s="95"/>
      <c r="V52" s="95"/>
      <c r="W52" s="95"/>
      <c r="X52" s="95"/>
    </row>
    <row r="53">
      <c r="A53" s="90">
        <v>46134.0</v>
      </c>
      <c r="B53" s="91">
        <v>0.580474537037037</v>
      </c>
      <c r="C53" s="92" t="s">
        <v>1774</v>
      </c>
      <c r="D53" s="93" t="s">
        <v>1775</v>
      </c>
      <c r="E53" s="94">
        <v>15569.0</v>
      </c>
      <c r="F53" s="94">
        <v>555.0</v>
      </c>
      <c r="G53" s="95"/>
      <c r="H53" s="95"/>
      <c r="I53" s="95"/>
      <c r="J53" s="95"/>
      <c r="K53" s="95"/>
      <c r="L53" s="95"/>
      <c r="M53" s="95"/>
      <c r="N53" s="95"/>
      <c r="O53" s="95"/>
      <c r="P53" s="95"/>
      <c r="Q53" s="95"/>
      <c r="R53" s="95"/>
      <c r="S53" s="95"/>
      <c r="T53" s="95"/>
      <c r="U53" s="95"/>
      <c r="V53" s="95"/>
      <c r="W53" s="95"/>
      <c r="X53" s="95"/>
    </row>
    <row r="54">
      <c r="A54" s="90">
        <v>46134.0</v>
      </c>
      <c r="B54" s="91">
        <v>0.5814814814814815</v>
      </c>
      <c r="C54" s="92" t="s">
        <v>1785</v>
      </c>
      <c r="D54" s="93" t="s">
        <v>1786</v>
      </c>
      <c r="E54" s="94">
        <v>13110.0</v>
      </c>
      <c r="F54" s="94">
        <v>929.0</v>
      </c>
      <c r="G54" s="95"/>
      <c r="H54" s="95"/>
      <c r="I54" s="95"/>
      <c r="J54" s="95"/>
      <c r="K54" s="95"/>
      <c r="L54" s="95"/>
      <c r="M54" s="95"/>
      <c r="N54" s="95"/>
      <c r="O54" s="95"/>
      <c r="P54" s="95"/>
      <c r="Q54" s="95"/>
      <c r="R54" s="95"/>
      <c r="S54" s="95"/>
      <c r="T54" s="95"/>
      <c r="U54" s="95"/>
      <c r="V54" s="95"/>
      <c r="W54" s="95"/>
      <c r="X54" s="95"/>
    </row>
    <row r="55">
      <c r="A55" s="90">
        <v>46134.0</v>
      </c>
      <c r="B55" s="91">
        <v>0.5825925925925926</v>
      </c>
      <c r="C55" s="92" t="s">
        <v>1675</v>
      </c>
      <c r="D55" s="93" t="s">
        <v>1795</v>
      </c>
      <c r="E55" s="94">
        <v>13951.0</v>
      </c>
      <c r="F55" s="94">
        <v>897.0</v>
      </c>
      <c r="G55" s="95"/>
      <c r="H55" s="95"/>
      <c r="I55" s="95"/>
      <c r="J55" s="95"/>
      <c r="K55" s="95"/>
      <c r="L55" s="95"/>
      <c r="M55" s="95"/>
      <c r="N55" s="95"/>
      <c r="O55" s="95"/>
      <c r="P55" s="95"/>
      <c r="Q55" s="95"/>
      <c r="R55" s="95"/>
      <c r="S55" s="95"/>
      <c r="T55" s="95"/>
      <c r="U55" s="95"/>
      <c r="V55" s="95"/>
      <c r="W55" s="95"/>
      <c r="X55" s="95"/>
    </row>
    <row r="56">
      <c r="A56" s="90">
        <v>46134.0</v>
      </c>
      <c r="B56" s="91">
        <v>0.586087962962963</v>
      </c>
      <c r="C56" s="92" t="s">
        <v>1772</v>
      </c>
      <c r="D56" s="93" t="s">
        <v>1803</v>
      </c>
      <c r="E56" s="94">
        <v>13366.0</v>
      </c>
      <c r="F56" s="94">
        <v>890.0</v>
      </c>
      <c r="G56" s="95"/>
      <c r="H56" s="95"/>
      <c r="I56" s="95"/>
      <c r="J56" s="95"/>
      <c r="K56" s="95"/>
      <c r="L56" s="95"/>
      <c r="M56" s="95"/>
      <c r="N56" s="95"/>
      <c r="O56" s="95"/>
      <c r="P56" s="95"/>
      <c r="Q56" s="95"/>
      <c r="R56" s="95"/>
      <c r="S56" s="95"/>
      <c r="T56" s="95"/>
      <c r="U56" s="95"/>
      <c r="V56" s="95"/>
      <c r="W56" s="95"/>
      <c r="X56" s="95"/>
    </row>
    <row r="57">
      <c r="A57" s="90">
        <v>46134.0</v>
      </c>
      <c r="B57" s="91">
        <v>0.5863541666666666</v>
      </c>
      <c r="C57" s="92" t="s">
        <v>1700</v>
      </c>
      <c r="D57" s="93" t="s">
        <v>1816</v>
      </c>
      <c r="E57" s="94">
        <v>14178.0</v>
      </c>
      <c r="F57" s="94">
        <v>676.0</v>
      </c>
      <c r="G57" s="95"/>
      <c r="H57" s="95"/>
      <c r="I57" s="95"/>
      <c r="J57" s="95"/>
      <c r="K57" s="95"/>
      <c r="L57" s="95"/>
      <c r="M57" s="95"/>
      <c r="N57" s="95"/>
      <c r="O57" s="95"/>
      <c r="P57" s="95"/>
      <c r="Q57" s="95"/>
      <c r="R57" s="95"/>
      <c r="S57" s="95"/>
      <c r="T57" s="95"/>
      <c r="U57" s="95"/>
      <c r="V57" s="95"/>
      <c r="W57" s="95"/>
      <c r="X57" s="95"/>
    </row>
    <row r="58">
      <c r="A58" s="90">
        <v>46145.0</v>
      </c>
      <c r="B58" s="91">
        <v>0.6489351851851852</v>
      </c>
      <c r="C58" s="92" t="s">
        <v>1779</v>
      </c>
      <c r="D58" s="93" t="s">
        <v>1825</v>
      </c>
      <c r="E58" s="94">
        <v>13275.0</v>
      </c>
      <c r="F58" s="94">
        <v>715.0</v>
      </c>
      <c r="G58" s="92" t="s">
        <v>1655</v>
      </c>
      <c r="H58" s="95"/>
      <c r="I58" s="95"/>
      <c r="J58" s="95"/>
      <c r="K58" s="95"/>
      <c r="L58" s="95"/>
      <c r="M58" s="95"/>
      <c r="N58" s="95"/>
      <c r="O58" s="95"/>
      <c r="P58" s="95"/>
      <c r="Q58" s="95"/>
      <c r="R58" s="95"/>
      <c r="S58" s="95"/>
      <c r="T58" s="95"/>
      <c r="U58" s="95"/>
      <c r="V58" s="95"/>
      <c r="W58" s="95"/>
      <c r="X58" s="95"/>
    </row>
    <row r="59">
      <c r="A59" s="90">
        <v>46145.0</v>
      </c>
      <c r="B59" s="91">
        <v>0.6971643518518519</v>
      </c>
      <c r="C59" s="92" t="s">
        <v>1721</v>
      </c>
      <c r="D59" s="93" t="s">
        <v>1830</v>
      </c>
      <c r="E59" s="94">
        <v>13073.0</v>
      </c>
      <c r="F59" s="94">
        <v>828.0</v>
      </c>
      <c r="G59" s="95"/>
      <c r="H59" s="95"/>
      <c r="I59" s="95"/>
      <c r="J59" s="95"/>
      <c r="K59" s="95"/>
      <c r="L59" s="95"/>
      <c r="M59" s="95"/>
      <c r="N59" s="95"/>
      <c r="O59" s="95"/>
      <c r="P59" s="95"/>
      <c r="Q59" s="95"/>
      <c r="R59" s="95"/>
      <c r="S59" s="95"/>
      <c r="T59" s="95"/>
      <c r="U59" s="95"/>
      <c r="V59" s="95"/>
      <c r="W59" s="95"/>
      <c r="X59" s="95"/>
    </row>
    <row r="60">
      <c r="A60" s="90">
        <v>46145.0</v>
      </c>
      <c r="B60" s="91">
        <v>0.6980324074074075</v>
      </c>
      <c r="C60" s="92" t="s">
        <v>1666</v>
      </c>
      <c r="D60" s="93" t="s">
        <v>1831</v>
      </c>
      <c r="E60" s="94">
        <v>13955.0</v>
      </c>
      <c r="F60" s="94">
        <v>828.0</v>
      </c>
      <c r="G60" s="92" t="s">
        <v>1652</v>
      </c>
      <c r="H60" s="95"/>
      <c r="I60" s="95"/>
      <c r="J60" s="95"/>
      <c r="K60" s="95"/>
      <c r="L60" s="95"/>
      <c r="M60" s="95"/>
      <c r="N60" s="95"/>
      <c r="O60" s="95"/>
      <c r="P60" s="95"/>
      <c r="Q60" s="95"/>
      <c r="R60" s="95"/>
      <c r="S60" s="95"/>
      <c r="T60" s="95"/>
      <c r="U60" s="95"/>
      <c r="V60" s="95"/>
      <c r="W60" s="95"/>
      <c r="X60" s="95"/>
    </row>
    <row r="61">
      <c r="A61" s="90">
        <v>46145.0</v>
      </c>
      <c r="B61" s="91">
        <v>0.7149189814814815</v>
      </c>
      <c r="C61" s="92" t="s">
        <v>1759</v>
      </c>
      <c r="D61" s="93" t="s">
        <v>1832</v>
      </c>
      <c r="E61" s="94">
        <v>13776.0</v>
      </c>
      <c r="F61" s="94">
        <v>208.0</v>
      </c>
      <c r="G61" s="92" t="s">
        <v>1652</v>
      </c>
      <c r="H61" s="95"/>
      <c r="I61" s="95"/>
      <c r="J61" s="95"/>
      <c r="K61" s="95"/>
      <c r="L61" s="95"/>
      <c r="M61" s="95"/>
      <c r="N61" s="95"/>
      <c r="O61" s="95"/>
      <c r="P61" s="95"/>
      <c r="Q61" s="95"/>
      <c r="R61" s="95"/>
      <c r="S61" s="95"/>
      <c r="T61" s="95"/>
      <c r="U61" s="95"/>
      <c r="V61" s="95"/>
      <c r="W61" s="95"/>
      <c r="X61" s="95"/>
    </row>
    <row r="62">
      <c r="A62" s="90">
        <v>46145.0</v>
      </c>
      <c r="B62" s="91">
        <v>0.715</v>
      </c>
      <c r="C62" s="92" t="s">
        <v>1833</v>
      </c>
      <c r="D62" s="93" t="s">
        <v>1834</v>
      </c>
      <c r="E62" s="94">
        <v>14220.0</v>
      </c>
      <c r="F62" s="94">
        <v>149.0</v>
      </c>
      <c r="G62" s="95"/>
      <c r="H62" s="95"/>
      <c r="I62" s="95"/>
      <c r="J62" s="95"/>
      <c r="K62" s="95"/>
      <c r="L62" s="95"/>
      <c r="M62" s="95"/>
      <c r="N62" s="95"/>
      <c r="O62" s="95"/>
      <c r="P62" s="95"/>
      <c r="Q62" s="95"/>
      <c r="R62" s="95"/>
      <c r="S62" s="95"/>
      <c r="T62" s="95"/>
      <c r="U62" s="95"/>
      <c r="V62" s="95"/>
      <c r="W62" s="95"/>
      <c r="X62" s="95"/>
    </row>
    <row r="63">
      <c r="A63" s="90">
        <v>46145.0</v>
      </c>
      <c r="B63" s="91">
        <v>0.7151388888888889</v>
      </c>
      <c r="C63" s="92" t="s">
        <v>1732</v>
      </c>
      <c r="D63" s="93" t="s">
        <v>1835</v>
      </c>
      <c r="E63" s="94">
        <v>1261.0</v>
      </c>
      <c r="F63" s="94">
        <v>310.0</v>
      </c>
      <c r="G63" s="95"/>
      <c r="H63" s="95"/>
      <c r="I63" s="95"/>
      <c r="J63" s="95"/>
      <c r="K63" s="95"/>
      <c r="L63" s="95"/>
      <c r="M63" s="95"/>
      <c r="N63" s="95"/>
      <c r="O63" s="95"/>
      <c r="P63" s="95"/>
      <c r="Q63" s="95"/>
      <c r="R63" s="95"/>
      <c r="S63" s="95"/>
      <c r="T63" s="95"/>
      <c r="U63" s="95"/>
      <c r="V63" s="95"/>
      <c r="W63" s="95"/>
      <c r="X63" s="95"/>
    </row>
    <row r="64">
      <c r="A64" s="90">
        <v>46146.0</v>
      </c>
      <c r="B64" s="91">
        <v>0.3323263888888889</v>
      </c>
      <c r="C64" s="92" t="s">
        <v>1650</v>
      </c>
      <c r="D64" s="93" t="s">
        <v>1836</v>
      </c>
      <c r="E64" s="94">
        <v>12483.0</v>
      </c>
      <c r="F64" s="94">
        <v>805.0</v>
      </c>
      <c r="G64" s="95"/>
      <c r="H64" s="95"/>
      <c r="I64" s="95"/>
      <c r="J64" s="95"/>
      <c r="K64" s="95"/>
      <c r="L64" s="95"/>
      <c r="M64" s="95"/>
      <c r="N64" s="95"/>
      <c r="O64" s="95"/>
      <c r="P64" s="95"/>
      <c r="Q64" s="95"/>
      <c r="R64" s="95"/>
      <c r="S64" s="95"/>
      <c r="T64" s="95"/>
      <c r="U64" s="95"/>
      <c r="V64" s="95"/>
      <c r="W64" s="95"/>
      <c r="X64" s="95"/>
    </row>
    <row r="65">
      <c r="A65" s="90">
        <v>46146.0</v>
      </c>
      <c r="B65" s="91">
        <v>0.3556597222222222</v>
      </c>
      <c r="C65" s="92" t="s">
        <v>1750</v>
      </c>
      <c r="D65" s="93" t="s">
        <v>1837</v>
      </c>
      <c r="E65" s="94">
        <v>12365.0</v>
      </c>
      <c r="F65" s="94">
        <v>967.0</v>
      </c>
      <c r="G65" s="92" t="s">
        <v>1652</v>
      </c>
      <c r="H65" s="95"/>
      <c r="I65" s="95"/>
      <c r="J65" s="95"/>
      <c r="K65" s="95"/>
      <c r="L65" s="95"/>
      <c r="M65" s="95"/>
      <c r="N65" s="95"/>
      <c r="O65" s="95"/>
      <c r="P65" s="95"/>
      <c r="Q65" s="95"/>
      <c r="R65" s="95"/>
      <c r="S65" s="95"/>
      <c r="T65" s="95"/>
      <c r="U65" s="95"/>
      <c r="V65" s="95"/>
      <c r="W65" s="95"/>
      <c r="X65" s="95"/>
    </row>
    <row r="66">
      <c r="A66" s="90">
        <v>46148.0</v>
      </c>
      <c r="B66" s="91">
        <v>0.43427083333333333</v>
      </c>
      <c r="C66" s="92" t="s">
        <v>1791</v>
      </c>
      <c r="D66" s="93" t="s">
        <v>1838</v>
      </c>
      <c r="E66" s="94">
        <v>12933.0</v>
      </c>
      <c r="F66" s="94">
        <v>825.0</v>
      </c>
      <c r="G66" s="92" t="s">
        <v>1652</v>
      </c>
      <c r="H66" s="95"/>
      <c r="I66" s="95"/>
      <c r="J66" s="95"/>
      <c r="K66" s="95"/>
      <c r="L66" s="95"/>
      <c r="M66" s="95"/>
      <c r="N66" s="95"/>
      <c r="O66" s="95"/>
      <c r="P66" s="95"/>
      <c r="Q66" s="95"/>
      <c r="R66" s="95"/>
      <c r="S66" s="95"/>
      <c r="T66" s="95"/>
      <c r="U66" s="95"/>
      <c r="V66" s="95"/>
      <c r="W66" s="95"/>
      <c r="X66" s="95"/>
    </row>
    <row r="67">
      <c r="A67" s="90">
        <v>46148.0</v>
      </c>
      <c r="B67" s="91">
        <v>0.4959027777777778</v>
      </c>
      <c r="C67" s="92" t="s">
        <v>1749</v>
      </c>
      <c r="D67" s="93" t="s">
        <v>1839</v>
      </c>
      <c r="E67" s="94">
        <v>5954.0</v>
      </c>
      <c r="F67" s="94">
        <v>502.0</v>
      </c>
      <c r="G67" s="92" t="s">
        <v>1652</v>
      </c>
      <c r="H67" s="95"/>
      <c r="I67" s="95"/>
      <c r="J67" s="95"/>
      <c r="K67" s="95"/>
      <c r="L67" s="95"/>
      <c r="M67" s="95"/>
      <c r="N67" s="95"/>
      <c r="O67" s="95"/>
      <c r="P67" s="95"/>
      <c r="Q67" s="95"/>
      <c r="R67" s="95"/>
      <c r="S67" s="95"/>
      <c r="T67" s="95"/>
      <c r="U67" s="95"/>
      <c r="V67" s="95"/>
      <c r="W67" s="95"/>
      <c r="X67" s="95"/>
    </row>
    <row r="68">
      <c r="A68" s="90">
        <v>46152.0</v>
      </c>
      <c r="B68" s="91">
        <v>0.9299537037037037</v>
      </c>
      <c r="C68" s="92" t="s">
        <v>1840</v>
      </c>
      <c r="D68" s="93" t="s">
        <v>1841</v>
      </c>
      <c r="E68" s="94">
        <v>1076.0</v>
      </c>
      <c r="F68" s="94">
        <v>519.0</v>
      </c>
      <c r="G68" s="92"/>
      <c r="H68" s="95"/>
      <c r="I68" s="95"/>
      <c r="J68" s="95"/>
      <c r="K68" s="95"/>
      <c r="L68" s="95"/>
      <c r="M68" s="95"/>
      <c r="N68" s="95"/>
      <c r="O68" s="95"/>
      <c r="P68" s="95"/>
      <c r="Q68" s="95"/>
      <c r="R68" s="95"/>
      <c r="S68" s="95"/>
      <c r="T68" s="95"/>
      <c r="U68" s="95"/>
      <c r="V68" s="95"/>
      <c r="W68" s="95"/>
      <c r="X68" s="95"/>
    </row>
    <row r="69">
      <c r="A69" s="90">
        <v>46152.0</v>
      </c>
      <c r="B69" s="91">
        <v>0.9405787037037037</v>
      </c>
      <c r="C69" s="92" t="s">
        <v>1750</v>
      </c>
      <c r="D69" s="93" t="s">
        <v>1842</v>
      </c>
      <c r="E69" s="94">
        <v>12365.0</v>
      </c>
      <c r="F69" s="94">
        <v>897.0</v>
      </c>
      <c r="G69" s="92"/>
      <c r="H69" s="95"/>
      <c r="I69" s="95"/>
      <c r="J69" s="95"/>
      <c r="K69" s="95"/>
      <c r="L69" s="95"/>
      <c r="M69" s="95"/>
      <c r="N69" s="95"/>
      <c r="O69" s="95"/>
      <c r="P69" s="95"/>
      <c r="Q69" s="95"/>
      <c r="R69" s="95"/>
      <c r="S69" s="95"/>
      <c r="T69" s="95"/>
      <c r="U69" s="95"/>
      <c r="V69" s="95"/>
      <c r="W69" s="95"/>
      <c r="X69" s="95"/>
    </row>
    <row r="70">
      <c r="A70" s="90">
        <v>46152.0</v>
      </c>
      <c r="B70" s="91">
        <v>0.9458912037037037</v>
      </c>
      <c r="C70" s="92" t="s">
        <v>1707</v>
      </c>
      <c r="D70" s="93" t="s">
        <v>1843</v>
      </c>
      <c r="E70" s="94">
        <v>0.0</v>
      </c>
      <c r="F70" s="94">
        <v>0.0</v>
      </c>
      <c r="G70" s="92"/>
      <c r="H70" s="95"/>
      <c r="I70" s="95"/>
      <c r="J70" s="95"/>
      <c r="K70" s="95"/>
      <c r="L70" s="95"/>
      <c r="M70" s="95"/>
      <c r="N70" s="95"/>
      <c r="O70" s="95"/>
      <c r="P70" s="95"/>
      <c r="Q70" s="95"/>
      <c r="R70" s="95"/>
      <c r="S70" s="95"/>
      <c r="T70" s="95"/>
      <c r="U70" s="95"/>
      <c r="V70" s="95"/>
      <c r="W70" s="95"/>
      <c r="X70" s="95"/>
    </row>
    <row r="71">
      <c r="A71" s="90">
        <v>46159.0</v>
      </c>
      <c r="B71" s="91">
        <v>0.9059143518518519</v>
      </c>
      <c r="C71" s="92" t="s">
        <v>1807</v>
      </c>
      <c r="D71" s="93" t="s">
        <v>1847</v>
      </c>
      <c r="E71" s="94">
        <v>12355.0</v>
      </c>
      <c r="F71" s="94">
        <v>1541.0</v>
      </c>
      <c r="G71" s="95"/>
      <c r="H71" s="95"/>
      <c r="I71" s="95"/>
      <c r="J71" s="95"/>
      <c r="K71" s="95"/>
      <c r="L71" s="95"/>
      <c r="M71" s="95"/>
      <c r="N71" s="95"/>
      <c r="O71" s="95"/>
      <c r="P71" s="95"/>
      <c r="Q71" s="95"/>
      <c r="R71" s="95"/>
      <c r="S71" s="95"/>
      <c r="T71" s="95"/>
      <c r="U71" s="95"/>
      <c r="V71" s="95"/>
      <c r="W71" s="95"/>
      <c r="X71" s="95"/>
    </row>
    <row r="72">
      <c r="A72" s="90">
        <v>46160.0</v>
      </c>
      <c r="B72" s="91">
        <v>0.6582060185185186</v>
      </c>
      <c r="C72" s="92" t="s">
        <v>1793</v>
      </c>
      <c r="D72" s="93" t="s">
        <v>1855</v>
      </c>
      <c r="E72" s="94">
        <v>12622.0</v>
      </c>
      <c r="F72" s="94">
        <v>1759.0</v>
      </c>
      <c r="G72" s="92"/>
      <c r="H72" s="95"/>
      <c r="I72" s="95"/>
      <c r="J72" s="95"/>
      <c r="K72" s="95"/>
      <c r="L72" s="95"/>
      <c r="M72" s="95"/>
      <c r="N72" s="95"/>
      <c r="O72" s="95"/>
      <c r="P72" s="95"/>
      <c r="Q72" s="95"/>
      <c r="R72" s="95"/>
      <c r="S72" s="95"/>
      <c r="T72" s="95"/>
      <c r="U72" s="95"/>
      <c r="V72" s="95"/>
      <c r="W72" s="95"/>
      <c r="X72" s="95"/>
    </row>
    <row r="73">
      <c r="A73" s="90">
        <v>46160.0</v>
      </c>
      <c r="B73" s="91">
        <v>0.6585185185185185</v>
      </c>
      <c r="C73" s="92" t="s">
        <v>1805</v>
      </c>
      <c r="D73" s="93" t="s">
        <v>1860</v>
      </c>
      <c r="E73" s="94">
        <v>14721.0</v>
      </c>
      <c r="F73" s="94">
        <v>1133.0</v>
      </c>
      <c r="G73" s="95"/>
      <c r="H73" s="95"/>
      <c r="I73" s="95"/>
      <c r="J73" s="95"/>
      <c r="K73" s="95"/>
      <c r="L73" s="95"/>
      <c r="M73" s="95"/>
      <c r="N73" s="95"/>
      <c r="O73" s="95"/>
      <c r="P73" s="95"/>
      <c r="Q73" s="95"/>
      <c r="R73" s="95"/>
      <c r="S73" s="95"/>
      <c r="T73" s="95"/>
      <c r="U73" s="95"/>
      <c r="V73" s="95"/>
      <c r="W73" s="95"/>
      <c r="X73" s="95"/>
    </row>
    <row r="74">
      <c r="A74" s="90">
        <v>46161.0</v>
      </c>
      <c r="B74" s="91">
        <v>0.38297453703703704</v>
      </c>
      <c r="C74" s="92" t="s">
        <v>1749</v>
      </c>
      <c r="D74" s="93" t="s">
        <v>1861</v>
      </c>
      <c r="E74" s="94">
        <v>5954.0</v>
      </c>
      <c r="F74" s="94">
        <v>362.0</v>
      </c>
      <c r="G74" s="92"/>
      <c r="H74" s="95"/>
      <c r="I74" s="95"/>
      <c r="J74" s="95"/>
      <c r="K74" s="95"/>
      <c r="L74" s="95"/>
      <c r="M74" s="95"/>
      <c r="N74" s="95"/>
      <c r="O74" s="95"/>
      <c r="P74" s="95"/>
      <c r="Q74" s="95"/>
      <c r="R74" s="95"/>
      <c r="S74" s="95"/>
      <c r="T74" s="95"/>
      <c r="U74" s="95"/>
      <c r="V74" s="95"/>
      <c r="W74" s="95"/>
      <c r="X74" s="95"/>
    </row>
    <row r="75">
      <c r="A75" s="90">
        <v>46161.0</v>
      </c>
      <c r="B75" s="91">
        <v>0.6538425925925926</v>
      </c>
      <c r="C75" s="92" t="s">
        <v>1863</v>
      </c>
      <c r="D75" s="93" t="s">
        <v>1865</v>
      </c>
      <c r="E75" s="94">
        <v>11847.0</v>
      </c>
      <c r="F75" s="94">
        <v>1270.0</v>
      </c>
      <c r="G75" s="92"/>
      <c r="H75" s="95"/>
      <c r="I75" s="95"/>
      <c r="J75" s="95"/>
      <c r="K75" s="95"/>
      <c r="L75" s="95"/>
      <c r="M75" s="95"/>
      <c r="N75" s="95"/>
      <c r="O75" s="95"/>
      <c r="P75" s="95"/>
      <c r="Q75" s="95"/>
      <c r="R75" s="95"/>
      <c r="S75" s="95"/>
      <c r="T75" s="95"/>
      <c r="U75" s="95"/>
      <c r="V75" s="95"/>
      <c r="W75" s="95"/>
      <c r="X75" s="95"/>
    </row>
    <row r="76">
      <c r="A76" s="90">
        <v>46161.0</v>
      </c>
      <c r="B76" s="91">
        <v>0.6540972222222222</v>
      </c>
      <c r="C76" s="92" t="s">
        <v>1867</v>
      </c>
      <c r="D76" s="93" t="s">
        <v>1868</v>
      </c>
      <c r="E76" s="94">
        <v>13518.0</v>
      </c>
      <c r="F76" s="94">
        <v>1185.0</v>
      </c>
      <c r="G76" s="95"/>
      <c r="H76" s="95"/>
      <c r="I76" s="95"/>
      <c r="J76" s="95"/>
      <c r="K76" s="95"/>
      <c r="L76" s="95"/>
      <c r="M76" s="95"/>
      <c r="N76" s="95"/>
      <c r="O76" s="95"/>
      <c r="P76" s="95"/>
      <c r="Q76" s="95"/>
      <c r="R76" s="95"/>
      <c r="S76" s="95"/>
      <c r="T76" s="95"/>
      <c r="U76" s="95"/>
      <c r="V76" s="95"/>
      <c r="W76" s="95"/>
      <c r="X76" s="95"/>
    </row>
    <row r="77">
      <c r="A77" s="90">
        <v>46164.0</v>
      </c>
      <c r="B77" s="91">
        <v>0.5645717592592593</v>
      </c>
      <c r="C77" s="92" t="s">
        <v>1650</v>
      </c>
      <c r="D77" s="93" t="s">
        <v>1869</v>
      </c>
      <c r="E77" s="94">
        <v>12483.0</v>
      </c>
      <c r="F77" s="94">
        <v>773.0</v>
      </c>
      <c r="G77" s="95"/>
      <c r="H77" s="95"/>
      <c r="I77" s="95"/>
      <c r="J77" s="95"/>
      <c r="K77" s="95"/>
      <c r="L77" s="95"/>
      <c r="M77" s="95"/>
      <c r="N77" s="95"/>
      <c r="O77" s="95"/>
      <c r="P77" s="95"/>
      <c r="Q77" s="95"/>
      <c r="R77" s="95"/>
      <c r="S77" s="95"/>
      <c r="T77" s="95"/>
      <c r="U77" s="95"/>
      <c r="V77" s="95"/>
      <c r="W77" s="95"/>
      <c r="X77" s="95"/>
    </row>
    <row r="78">
      <c r="A78" s="90">
        <v>46168.0</v>
      </c>
      <c r="B78" s="91">
        <v>0.6438310185185185</v>
      </c>
      <c r="C78" s="92" t="s">
        <v>1870</v>
      </c>
      <c r="D78" s="93" t="s">
        <v>1871</v>
      </c>
      <c r="E78" s="94">
        <v>4816.0</v>
      </c>
      <c r="F78" s="94">
        <v>755.0</v>
      </c>
      <c r="G78" s="95"/>
      <c r="H78" s="95"/>
      <c r="I78" s="95"/>
      <c r="J78" s="95"/>
      <c r="K78" s="95"/>
      <c r="L78" s="95"/>
      <c r="M78" s="95"/>
      <c r="N78" s="95"/>
      <c r="O78" s="95"/>
      <c r="P78" s="95"/>
      <c r="Q78" s="95"/>
      <c r="R78" s="95"/>
      <c r="S78" s="95"/>
      <c r="T78" s="95"/>
      <c r="U78" s="95"/>
      <c r="V78" s="95"/>
      <c r="W78" s="95"/>
      <c r="X78" s="95"/>
    </row>
    <row r="79">
      <c r="A79" s="90">
        <v>46168.0</v>
      </c>
      <c r="B79" s="91">
        <v>0.6442013888888889</v>
      </c>
      <c r="C79" s="92" t="s">
        <v>1872</v>
      </c>
      <c r="D79" s="93" t="s">
        <v>1873</v>
      </c>
      <c r="E79" s="94">
        <v>11818.0</v>
      </c>
      <c r="F79" s="94">
        <v>895.0</v>
      </c>
      <c r="G79" s="95"/>
      <c r="H79" s="95"/>
      <c r="I79" s="95"/>
      <c r="J79" s="95"/>
      <c r="K79" s="95"/>
      <c r="L79" s="95"/>
      <c r="M79" s="95"/>
      <c r="N79" s="95"/>
      <c r="O79" s="95"/>
      <c r="P79" s="95"/>
      <c r="Q79" s="95"/>
      <c r="R79" s="95"/>
      <c r="S79" s="95"/>
      <c r="T79" s="95"/>
      <c r="U79" s="95"/>
      <c r="V79" s="95"/>
      <c r="W79" s="95"/>
      <c r="X79" s="95"/>
    </row>
    <row r="80">
      <c r="A80" s="90">
        <v>46169.0</v>
      </c>
      <c r="B80" s="91">
        <v>0.4399074074074074</v>
      </c>
      <c r="C80" s="92" t="s">
        <v>1709</v>
      </c>
      <c r="D80" s="93" t="s">
        <v>1874</v>
      </c>
      <c r="E80" s="94">
        <v>13191.0</v>
      </c>
      <c r="F80" s="94">
        <v>407.0</v>
      </c>
      <c r="G80" s="95"/>
      <c r="H80" s="95"/>
      <c r="I80" s="95"/>
      <c r="J80" s="95"/>
      <c r="K80" s="95"/>
      <c r="L80" s="95"/>
      <c r="M80" s="95"/>
      <c r="N80" s="95"/>
      <c r="O80" s="95"/>
      <c r="P80" s="95"/>
      <c r="Q80" s="95"/>
      <c r="R80" s="95"/>
      <c r="S80" s="95"/>
      <c r="T80" s="95"/>
      <c r="U80" s="95"/>
      <c r="V80" s="95"/>
      <c r="W80" s="95"/>
      <c r="X80" s="95"/>
    </row>
    <row r="81">
      <c r="A81" s="90">
        <v>46169.0</v>
      </c>
      <c r="B81" s="91">
        <v>0.6727662037037037</v>
      </c>
      <c r="C81" s="92" t="s">
        <v>1876</v>
      </c>
      <c r="D81" s="93" t="s">
        <v>1877</v>
      </c>
      <c r="E81" s="94">
        <v>2034.0</v>
      </c>
      <c r="F81" s="94">
        <v>708.0</v>
      </c>
      <c r="G81" s="92"/>
      <c r="H81" s="95"/>
      <c r="I81" s="95"/>
      <c r="J81" s="95"/>
      <c r="K81" s="95"/>
      <c r="L81" s="95"/>
      <c r="M81" s="95"/>
      <c r="N81" s="95"/>
      <c r="O81" s="95"/>
      <c r="P81" s="95"/>
      <c r="Q81" s="95"/>
      <c r="R81" s="95"/>
      <c r="S81" s="95"/>
      <c r="T81" s="95"/>
      <c r="U81" s="95"/>
      <c r="V81" s="95"/>
      <c r="W81" s="95"/>
      <c r="X81" s="95"/>
    </row>
    <row r="82">
      <c r="A82" s="90">
        <v>46169.0</v>
      </c>
      <c r="B82" s="91">
        <v>0.6731828703703704</v>
      </c>
      <c r="C82" s="92" t="s">
        <v>1878</v>
      </c>
      <c r="D82" s="93" t="s">
        <v>1879</v>
      </c>
      <c r="E82" s="94">
        <v>1805.0</v>
      </c>
      <c r="F82" s="94">
        <v>491.0</v>
      </c>
      <c r="G82" s="95"/>
      <c r="H82" s="95"/>
      <c r="I82" s="95"/>
      <c r="J82" s="95"/>
      <c r="K82" s="95"/>
      <c r="L82" s="95"/>
      <c r="M82" s="95"/>
      <c r="N82" s="95"/>
      <c r="O82" s="95"/>
      <c r="P82" s="95"/>
      <c r="Q82" s="95"/>
      <c r="R82" s="95"/>
      <c r="S82" s="95"/>
      <c r="T82" s="95"/>
      <c r="U82" s="95"/>
      <c r="V82" s="95"/>
      <c r="W82" s="95"/>
      <c r="X82" s="95"/>
    </row>
    <row r="83">
      <c r="A83" s="90">
        <v>46175.0</v>
      </c>
      <c r="B83" s="91">
        <v>0.3482638888888889</v>
      </c>
      <c r="C83" s="92" t="s">
        <v>1817</v>
      </c>
      <c r="D83" s="93" t="s">
        <v>1880</v>
      </c>
      <c r="E83" s="94">
        <v>12968.0</v>
      </c>
      <c r="F83" s="94">
        <v>558.0</v>
      </c>
      <c r="G83" s="95"/>
      <c r="H83" s="95"/>
      <c r="I83" s="95"/>
      <c r="J83" s="95"/>
      <c r="K83" s="95"/>
      <c r="L83" s="95"/>
      <c r="M83" s="95"/>
      <c r="N83" s="95"/>
      <c r="O83" s="95"/>
      <c r="P83" s="95"/>
      <c r="Q83" s="95"/>
      <c r="R83" s="95"/>
      <c r="S83" s="95"/>
      <c r="T83" s="95"/>
      <c r="U83" s="95"/>
      <c r="V83" s="95"/>
      <c r="W83" s="95"/>
      <c r="X83" s="95"/>
    </row>
    <row r="84">
      <c r="A84" s="90">
        <v>46175.0</v>
      </c>
      <c r="B84" s="91">
        <v>0.388125</v>
      </c>
      <c r="C84" s="92" t="s">
        <v>1774</v>
      </c>
      <c r="D84" s="93" t="s">
        <v>1881</v>
      </c>
      <c r="E84" s="94">
        <v>12739.0</v>
      </c>
      <c r="F84" s="94">
        <v>617.0</v>
      </c>
      <c r="G84" s="95"/>
      <c r="H84" s="95"/>
      <c r="I84" s="95"/>
      <c r="J84" s="95"/>
      <c r="K84" s="95"/>
      <c r="L84" s="95"/>
      <c r="M84" s="95"/>
      <c r="N84" s="95"/>
      <c r="O84" s="95"/>
      <c r="P84" s="95"/>
      <c r="Q84" s="95"/>
      <c r="R84" s="95"/>
      <c r="S84" s="95"/>
      <c r="T84" s="95"/>
      <c r="U84" s="95"/>
      <c r="V84" s="95"/>
      <c r="W84" s="95"/>
      <c r="X84" s="95"/>
    </row>
    <row r="85">
      <c r="A85" s="90">
        <v>46175.0</v>
      </c>
      <c r="B85" s="91">
        <v>0.493912037037037</v>
      </c>
      <c r="C85" s="92" t="s">
        <v>1746</v>
      </c>
      <c r="D85" s="93" t="s">
        <v>1882</v>
      </c>
      <c r="E85" s="94">
        <v>12530.0</v>
      </c>
      <c r="F85" s="94">
        <v>1491.0</v>
      </c>
      <c r="G85" s="95"/>
      <c r="H85" s="95"/>
      <c r="I85" s="95"/>
      <c r="J85" s="95"/>
      <c r="K85" s="95"/>
      <c r="L85" s="95"/>
      <c r="M85" s="95"/>
      <c r="N85" s="95"/>
      <c r="O85" s="95"/>
      <c r="P85" s="95"/>
      <c r="Q85" s="95"/>
      <c r="R85" s="95"/>
      <c r="S85" s="95"/>
      <c r="T85" s="95"/>
      <c r="U85" s="95"/>
      <c r="V85" s="95"/>
      <c r="W85" s="95"/>
      <c r="X85" s="95"/>
    </row>
    <row r="86">
      <c r="A86" s="90">
        <v>46175.0</v>
      </c>
      <c r="B86" s="91">
        <v>0.7007407407407408</v>
      </c>
      <c r="C86" s="92" t="s">
        <v>1764</v>
      </c>
      <c r="D86" s="93" t="s">
        <v>1883</v>
      </c>
      <c r="E86" s="94">
        <v>12340.0</v>
      </c>
      <c r="F86" s="94">
        <v>475.0</v>
      </c>
      <c r="G86" s="95"/>
      <c r="H86" s="95"/>
      <c r="I86" s="95"/>
      <c r="J86" s="95"/>
      <c r="K86" s="95"/>
      <c r="L86" s="95"/>
      <c r="M86" s="95"/>
      <c r="N86" s="95"/>
      <c r="O86" s="95"/>
      <c r="P86" s="95"/>
      <c r="Q86" s="95"/>
      <c r="R86" s="95"/>
      <c r="S86" s="95"/>
      <c r="T86" s="95"/>
      <c r="U86" s="95"/>
      <c r="V86" s="95"/>
      <c r="W86" s="95"/>
      <c r="X86" s="95"/>
    </row>
    <row r="87">
      <c r="A87" s="90">
        <v>46181.0</v>
      </c>
      <c r="B87" s="91">
        <v>0.6745023148148148</v>
      </c>
      <c r="C87" s="92" t="s">
        <v>1829</v>
      </c>
      <c r="D87" s="93" t="s">
        <v>1889</v>
      </c>
      <c r="E87" s="94">
        <v>4975.0</v>
      </c>
      <c r="F87" s="94">
        <v>945.0</v>
      </c>
      <c r="G87" s="95"/>
      <c r="H87" s="95"/>
      <c r="I87" s="95"/>
      <c r="J87" s="95"/>
      <c r="K87" s="95"/>
      <c r="L87" s="95"/>
      <c r="M87" s="95"/>
      <c r="N87" s="95"/>
      <c r="O87" s="95"/>
      <c r="P87" s="95"/>
      <c r="Q87" s="95"/>
      <c r="R87" s="95"/>
      <c r="S87" s="95"/>
      <c r="T87" s="95"/>
      <c r="U87" s="95"/>
      <c r="V87" s="95"/>
      <c r="W87" s="95"/>
      <c r="X87" s="95"/>
    </row>
    <row r="88">
      <c r="A88" s="90">
        <v>46184.0</v>
      </c>
      <c r="B88" s="91">
        <v>0.6793055555555556</v>
      </c>
      <c r="C88" s="92" t="s">
        <v>1666</v>
      </c>
      <c r="D88" s="93" t="s">
        <v>1891</v>
      </c>
      <c r="E88" s="94">
        <v>12744.0</v>
      </c>
      <c r="F88" s="94">
        <v>916.0</v>
      </c>
      <c r="G88" s="95"/>
      <c r="H88" s="95"/>
      <c r="I88" s="95"/>
      <c r="J88" s="95"/>
      <c r="K88" s="95"/>
      <c r="L88" s="95"/>
      <c r="M88" s="95"/>
      <c r="N88" s="95"/>
      <c r="O88" s="95"/>
      <c r="P88" s="95"/>
      <c r="Q88" s="95"/>
      <c r="R88" s="95"/>
      <c r="S88" s="95"/>
      <c r="T88" s="95"/>
      <c r="U88" s="95"/>
      <c r="V88" s="95"/>
      <c r="W88" s="95"/>
      <c r="X88" s="95"/>
    </row>
    <row r="89">
      <c r="A89" s="90">
        <v>46194.0</v>
      </c>
      <c r="B89" s="91">
        <v>0.42788194444444444</v>
      </c>
      <c r="C89" s="92" t="s">
        <v>1812</v>
      </c>
      <c r="D89" s="93" t="s">
        <v>1896</v>
      </c>
      <c r="E89" s="94">
        <v>12983.0</v>
      </c>
      <c r="F89" s="94">
        <v>954.0</v>
      </c>
      <c r="G89" s="95"/>
      <c r="H89" s="95"/>
      <c r="I89" s="95"/>
      <c r="J89" s="95"/>
      <c r="K89" s="95"/>
      <c r="L89" s="95"/>
      <c r="M89" s="95"/>
      <c r="N89" s="95"/>
      <c r="O89" s="95"/>
      <c r="P89" s="95"/>
      <c r="Q89" s="95"/>
      <c r="R89" s="95"/>
      <c r="S89" s="95"/>
      <c r="T89" s="95"/>
      <c r="U89" s="95"/>
      <c r="V89" s="95"/>
      <c r="W89" s="95"/>
      <c r="X89" s="95"/>
    </row>
    <row r="90">
      <c r="A90" s="90">
        <v>46194.0</v>
      </c>
      <c r="B90" s="91">
        <v>0.6688310185185186</v>
      </c>
      <c r="C90" s="92" t="s">
        <v>1805</v>
      </c>
      <c r="D90" s="93" t="s">
        <v>1897</v>
      </c>
      <c r="E90" s="94">
        <v>13705.0</v>
      </c>
      <c r="F90" s="94">
        <v>349.0</v>
      </c>
      <c r="G90" s="92" t="s">
        <v>1652</v>
      </c>
      <c r="H90" s="95"/>
      <c r="I90" s="95"/>
      <c r="J90" s="95"/>
      <c r="K90" s="95"/>
      <c r="L90" s="95"/>
      <c r="M90" s="95"/>
      <c r="N90" s="95"/>
      <c r="O90" s="95"/>
      <c r="P90" s="95"/>
      <c r="Q90" s="95"/>
      <c r="R90" s="95"/>
      <c r="S90" s="95"/>
      <c r="T90" s="95"/>
      <c r="U90" s="95"/>
      <c r="V90" s="95"/>
      <c r="W90" s="95"/>
      <c r="X90" s="95"/>
    </row>
    <row r="91">
      <c r="A91" s="90">
        <v>46195.0</v>
      </c>
      <c r="B91" s="91">
        <v>0.6837268518518519</v>
      </c>
      <c r="C91" s="92" t="s">
        <v>1650</v>
      </c>
      <c r="D91" s="93" t="s">
        <v>1901</v>
      </c>
      <c r="E91" s="94">
        <v>13102.0</v>
      </c>
      <c r="F91" s="94">
        <v>318.0</v>
      </c>
      <c r="G91" s="95"/>
      <c r="H91" s="95"/>
      <c r="I91" s="95"/>
      <c r="J91" s="95"/>
      <c r="K91" s="95"/>
      <c r="L91" s="95"/>
      <c r="M91" s="95"/>
      <c r="N91" s="95"/>
      <c r="O91" s="95"/>
      <c r="P91" s="95"/>
      <c r="Q91" s="95"/>
      <c r="R91" s="95"/>
      <c r="S91" s="95"/>
      <c r="T91" s="95"/>
      <c r="U91" s="95"/>
      <c r="V91" s="95"/>
      <c r="W91" s="95"/>
      <c r="X91" s="95"/>
    </row>
    <row r="92">
      <c r="A92" s="90">
        <v>46195.0</v>
      </c>
      <c r="B92" s="91">
        <v>0.6839814814814815</v>
      </c>
      <c r="C92" s="92" t="s">
        <v>1700</v>
      </c>
      <c r="D92" s="93" t="s">
        <v>1903</v>
      </c>
      <c r="E92" s="94">
        <v>13344.0</v>
      </c>
      <c r="F92" s="94">
        <v>571.0</v>
      </c>
      <c r="G92" s="95"/>
      <c r="H92" s="95"/>
      <c r="I92" s="95"/>
      <c r="J92" s="95"/>
      <c r="K92" s="95"/>
      <c r="L92" s="95"/>
      <c r="M92" s="95"/>
      <c r="N92" s="95"/>
      <c r="O92" s="95"/>
      <c r="P92" s="95"/>
      <c r="Q92" s="95"/>
      <c r="R92" s="95"/>
      <c r="S92" s="95"/>
      <c r="T92" s="95"/>
      <c r="U92" s="95"/>
      <c r="V92" s="95"/>
      <c r="W92" s="95"/>
      <c r="X92" s="95"/>
    </row>
    <row r="93">
      <c r="A93" s="90">
        <v>46198.0</v>
      </c>
      <c r="B93" s="91">
        <v>0.5808449074074075</v>
      </c>
      <c r="C93" s="92" t="s">
        <v>1711</v>
      </c>
      <c r="D93" s="93" t="s">
        <v>1912</v>
      </c>
      <c r="E93" s="94">
        <v>13923.0</v>
      </c>
      <c r="F93" s="94">
        <v>1671.0</v>
      </c>
      <c r="G93" s="95"/>
      <c r="H93" s="95"/>
      <c r="I93" s="95"/>
      <c r="J93" s="95"/>
      <c r="K93" s="95"/>
      <c r="L93" s="95"/>
      <c r="M93" s="95"/>
      <c r="N93" s="95"/>
      <c r="O93" s="95"/>
      <c r="P93" s="95"/>
      <c r="Q93" s="95"/>
      <c r="R93" s="95"/>
      <c r="S93" s="95"/>
      <c r="T93" s="95"/>
      <c r="U93" s="95"/>
      <c r="V93" s="95"/>
      <c r="W93" s="95"/>
      <c r="X93" s="95"/>
    </row>
    <row r="94">
      <c r="A94" s="90">
        <v>46204.0</v>
      </c>
      <c r="B94" s="91">
        <v>0.6956134259259259</v>
      </c>
      <c r="C94" s="92" t="s">
        <v>1753</v>
      </c>
      <c r="D94" s="93" t="s">
        <v>1917</v>
      </c>
      <c r="E94" s="94">
        <v>13181.0</v>
      </c>
      <c r="F94" s="94">
        <v>724.0</v>
      </c>
      <c r="G94" s="95"/>
      <c r="H94" s="95"/>
      <c r="I94" s="95"/>
      <c r="J94" s="95"/>
      <c r="K94" s="95"/>
      <c r="L94" s="95"/>
      <c r="M94" s="95"/>
      <c r="N94" s="95"/>
      <c r="O94" s="95"/>
      <c r="P94" s="95"/>
      <c r="Q94" s="95"/>
      <c r="R94" s="95"/>
      <c r="S94" s="95"/>
      <c r="T94" s="95"/>
      <c r="U94" s="95"/>
      <c r="V94" s="95"/>
      <c r="W94" s="95"/>
      <c r="X94" s="95"/>
    </row>
    <row r="95">
      <c r="A95" s="90">
        <v>46220.0</v>
      </c>
      <c r="B95" s="91">
        <v>0.6530902777777777</v>
      </c>
      <c r="C95" s="92" t="s">
        <v>1727</v>
      </c>
      <c r="D95" s="93" t="s">
        <v>1922</v>
      </c>
      <c r="E95" s="94">
        <v>13146.0</v>
      </c>
      <c r="F95" s="94">
        <v>341.0</v>
      </c>
      <c r="G95" s="95"/>
      <c r="H95" s="95"/>
      <c r="I95" s="95"/>
      <c r="J95" s="95"/>
      <c r="K95" s="95"/>
      <c r="L95" s="95"/>
      <c r="M95" s="95"/>
      <c r="N95" s="95"/>
      <c r="O95" s="95"/>
      <c r="P95" s="95"/>
      <c r="Q95" s="95"/>
      <c r="R95" s="95"/>
      <c r="S95" s="95"/>
      <c r="T95" s="95"/>
      <c r="U95" s="95"/>
      <c r="V95" s="95"/>
      <c r="W95" s="95"/>
      <c r="X95" s="95"/>
    </row>
    <row r="96">
      <c r="A96" s="90">
        <v>46220.0</v>
      </c>
      <c r="B96" s="91">
        <v>0.6532291666666666</v>
      </c>
      <c r="C96" s="92" t="s">
        <v>1764</v>
      </c>
      <c r="D96" s="93" t="s">
        <v>1927</v>
      </c>
      <c r="E96" s="94">
        <v>13483.0</v>
      </c>
      <c r="F96" s="94">
        <v>702.0</v>
      </c>
      <c r="G96" s="95"/>
      <c r="H96" s="95"/>
      <c r="I96" s="95"/>
      <c r="J96" s="95"/>
      <c r="K96" s="95"/>
      <c r="L96" s="95"/>
      <c r="M96" s="95"/>
      <c r="N96" s="95"/>
      <c r="O96" s="95"/>
      <c r="P96" s="95"/>
      <c r="Q96" s="95"/>
      <c r="R96" s="95"/>
      <c r="S96" s="95"/>
      <c r="T96" s="95"/>
      <c r="U96" s="95"/>
      <c r="V96" s="95"/>
      <c r="W96" s="95"/>
      <c r="X96" s="95"/>
    </row>
    <row r="97">
      <c r="A97" s="90">
        <v>46225.0</v>
      </c>
      <c r="B97" s="91">
        <v>0.615625</v>
      </c>
      <c r="C97" s="92" t="s">
        <v>1782</v>
      </c>
      <c r="D97" s="93" t="s">
        <v>1933</v>
      </c>
      <c r="E97" s="94">
        <v>12585.0</v>
      </c>
      <c r="F97" s="94">
        <v>1224.0</v>
      </c>
      <c r="G97" s="95"/>
      <c r="H97" s="95"/>
      <c r="I97" s="95"/>
      <c r="J97" s="95"/>
      <c r="K97" s="95"/>
      <c r="L97" s="95"/>
      <c r="M97" s="95"/>
      <c r="N97" s="95"/>
      <c r="O97" s="95"/>
      <c r="P97" s="95"/>
      <c r="Q97" s="95"/>
      <c r="R97" s="95"/>
      <c r="S97" s="95"/>
      <c r="T97" s="95"/>
      <c r="U97" s="95"/>
      <c r="V97" s="95"/>
      <c r="W97" s="95"/>
      <c r="X97" s="95"/>
    </row>
    <row r="98">
      <c r="A98" s="90">
        <v>46225.0</v>
      </c>
      <c r="B98" s="91">
        <v>0.6320486111111111</v>
      </c>
      <c r="C98" s="92" t="s">
        <v>1789</v>
      </c>
      <c r="D98" s="93" t="s">
        <v>1938</v>
      </c>
      <c r="E98" s="94">
        <v>13928.0</v>
      </c>
      <c r="F98" s="94">
        <v>818.0</v>
      </c>
      <c r="G98" s="95"/>
      <c r="H98" s="95"/>
      <c r="I98" s="95"/>
      <c r="J98" s="95"/>
      <c r="K98" s="95"/>
      <c r="L98" s="95"/>
      <c r="M98" s="95"/>
      <c r="N98" s="95"/>
      <c r="O98" s="95"/>
      <c r="P98" s="95"/>
      <c r="Q98" s="95"/>
      <c r="R98" s="95"/>
      <c r="S98" s="95"/>
      <c r="T98" s="95"/>
      <c r="U98" s="95"/>
      <c r="V98" s="95"/>
      <c r="W98" s="95"/>
      <c r="X98" s="95"/>
    </row>
    <row r="99">
      <c r="A99" s="90">
        <v>46225.0</v>
      </c>
      <c r="B99" s="91">
        <v>0.6349305555555556</v>
      </c>
      <c r="C99" s="92" t="s">
        <v>1941</v>
      </c>
      <c r="D99" s="93" t="s">
        <v>1943</v>
      </c>
      <c r="E99" s="94">
        <v>5055.0</v>
      </c>
      <c r="F99" s="94">
        <v>874.0</v>
      </c>
      <c r="G99" s="95"/>
      <c r="H99" s="95"/>
      <c r="I99" s="95"/>
      <c r="J99" s="95"/>
      <c r="K99" s="95"/>
      <c r="L99" s="95"/>
      <c r="M99" s="95"/>
      <c r="N99" s="95"/>
      <c r="O99" s="95"/>
      <c r="P99" s="95"/>
      <c r="Q99" s="95"/>
      <c r="R99" s="95"/>
      <c r="S99" s="95"/>
      <c r="T99" s="95"/>
      <c r="U99" s="95"/>
      <c r="V99" s="95"/>
      <c r="W99" s="95"/>
      <c r="X99" s="95"/>
    </row>
    <row r="100">
      <c r="A100" s="90">
        <v>46225.0</v>
      </c>
      <c r="B100" s="91">
        <v>0.6370370370370371</v>
      </c>
      <c r="C100" s="92" t="s">
        <v>1948</v>
      </c>
      <c r="D100" s="93" t="s">
        <v>1949</v>
      </c>
      <c r="E100" s="94">
        <v>4977.0</v>
      </c>
      <c r="F100" s="94">
        <v>60.0</v>
      </c>
      <c r="G100" s="95"/>
      <c r="H100" s="95"/>
      <c r="I100" s="95"/>
      <c r="J100" s="95"/>
      <c r="K100" s="95"/>
      <c r="L100" s="95"/>
      <c r="M100" s="95"/>
      <c r="N100" s="95"/>
      <c r="O100" s="95"/>
      <c r="P100" s="95"/>
      <c r="Q100" s="95"/>
      <c r="R100" s="95"/>
      <c r="S100" s="95"/>
      <c r="T100" s="95"/>
      <c r="U100" s="95"/>
      <c r="V100" s="95"/>
      <c r="W100" s="95"/>
      <c r="X100" s="95"/>
    </row>
    <row r="101">
      <c r="A101" s="90">
        <v>46225.0</v>
      </c>
      <c r="B101" s="91">
        <v>0.6396296296296297</v>
      </c>
      <c r="C101" s="92" t="s">
        <v>1827</v>
      </c>
      <c r="D101" s="93" t="s">
        <v>1955</v>
      </c>
      <c r="E101" s="94">
        <v>13325.0</v>
      </c>
      <c r="F101" s="94">
        <v>1694.0</v>
      </c>
      <c r="G101" s="95"/>
      <c r="H101" s="95"/>
      <c r="I101" s="95"/>
      <c r="J101" s="95"/>
      <c r="K101" s="95"/>
      <c r="L101" s="95"/>
      <c r="M101" s="95"/>
      <c r="N101" s="95"/>
      <c r="O101" s="95"/>
      <c r="P101" s="95"/>
      <c r="Q101" s="95"/>
      <c r="R101" s="95"/>
      <c r="S101" s="95"/>
      <c r="T101" s="95"/>
      <c r="U101" s="95"/>
      <c r="V101" s="95"/>
      <c r="W101" s="95"/>
      <c r="X101" s="95"/>
    </row>
    <row r="102">
      <c r="A102" s="90">
        <v>46225.0</v>
      </c>
      <c r="B102" s="91">
        <v>0.6413773148148149</v>
      </c>
      <c r="C102" s="92" t="s">
        <v>1800</v>
      </c>
      <c r="D102" s="93" t="s">
        <v>1959</v>
      </c>
      <c r="E102" s="94">
        <v>13443.0</v>
      </c>
      <c r="F102" s="94">
        <v>1040.0</v>
      </c>
      <c r="G102" s="95"/>
      <c r="H102" s="95"/>
      <c r="I102" s="95"/>
      <c r="J102" s="95"/>
      <c r="K102" s="95"/>
      <c r="L102" s="95"/>
      <c r="M102" s="95"/>
      <c r="N102" s="95"/>
      <c r="O102" s="95"/>
      <c r="P102" s="95"/>
      <c r="Q102" s="95"/>
      <c r="R102" s="95"/>
      <c r="S102" s="95"/>
      <c r="T102" s="95"/>
      <c r="U102" s="95"/>
      <c r="V102" s="95"/>
      <c r="W102" s="95"/>
      <c r="X102" s="95"/>
    </row>
    <row r="103">
      <c r="A103" s="90"/>
      <c r="B103" s="91"/>
      <c r="C103" s="92"/>
      <c r="D103" s="93"/>
      <c r="E103" s="94"/>
      <c r="F103" s="94"/>
      <c r="G103" s="95"/>
      <c r="H103" s="95"/>
      <c r="I103" s="95"/>
      <c r="J103" s="95"/>
      <c r="K103" s="95"/>
      <c r="L103" s="95"/>
      <c r="M103" s="95"/>
      <c r="N103" s="95"/>
      <c r="O103" s="95"/>
      <c r="P103" s="95"/>
      <c r="Q103" s="95"/>
      <c r="R103" s="95"/>
      <c r="S103" s="95"/>
      <c r="T103" s="95"/>
      <c r="U103" s="95"/>
      <c r="V103" s="95"/>
      <c r="W103" s="95"/>
      <c r="X103" s="95"/>
    </row>
    <row r="104">
      <c r="A104" s="90"/>
      <c r="B104" s="91"/>
      <c r="C104" s="92"/>
      <c r="D104" s="93"/>
      <c r="E104" s="94"/>
      <c r="F104" s="94"/>
      <c r="G104" s="95"/>
      <c r="H104" s="95"/>
      <c r="I104" s="95"/>
      <c r="J104" s="95"/>
      <c r="K104" s="95"/>
      <c r="L104" s="95"/>
      <c r="M104" s="95"/>
      <c r="N104" s="95"/>
      <c r="O104" s="95"/>
      <c r="P104" s="95"/>
      <c r="Q104" s="95"/>
      <c r="R104" s="95"/>
      <c r="S104" s="95"/>
      <c r="T104" s="95"/>
      <c r="U104" s="95"/>
      <c r="V104" s="95"/>
      <c r="W104" s="95"/>
      <c r="X104" s="95"/>
    </row>
    <row r="105">
      <c r="A105" s="90"/>
      <c r="B105" s="91"/>
      <c r="C105" s="92"/>
      <c r="D105" s="93"/>
      <c r="E105" s="94"/>
      <c r="F105" s="94"/>
      <c r="G105" s="95"/>
      <c r="H105" s="95"/>
      <c r="I105" s="95"/>
      <c r="J105" s="95"/>
      <c r="K105" s="95"/>
      <c r="L105" s="95"/>
      <c r="M105" s="95"/>
      <c r="N105" s="95"/>
      <c r="O105" s="95"/>
      <c r="P105" s="95"/>
      <c r="Q105" s="95"/>
      <c r="R105" s="95"/>
      <c r="S105" s="95"/>
      <c r="T105" s="95"/>
      <c r="U105" s="95"/>
      <c r="V105" s="95"/>
      <c r="W105" s="95"/>
      <c r="X105" s="95"/>
    </row>
    <row r="106">
      <c r="A106" s="90"/>
      <c r="B106" s="91"/>
      <c r="C106" s="92"/>
      <c r="D106" s="93"/>
      <c r="E106" s="94"/>
      <c r="F106" s="94"/>
      <c r="G106" s="95"/>
      <c r="H106" s="95"/>
      <c r="I106" s="95"/>
      <c r="J106" s="95"/>
      <c r="K106" s="95"/>
      <c r="L106" s="95"/>
      <c r="M106" s="95"/>
      <c r="N106" s="95"/>
      <c r="O106" s="95"/>
      <c r="P106" s="95"/>
      <c r="Q106" s="95"/>
      <c r="R106" s="95"/>
      <c r="S106" s="95"/>
      <c r="T106" s="95"/>
      <c r="U106" s="95"/>
      <c r="V106" s="95"/>
      <c r="W106" s="95"/>
      <c r="X106" s="95"/>
    </row>
    <row r="107">
      <c r="A107" s="90"/>
      <c r="B107" s="91"/>
      <c r="C107" s="92"/>
      <c r="D107" s="93"/>
      <c r="E107" s="94"/>
      <c r="F107" s="94"/>
      <c r="G107" s="95"/>
      <c r="H107" s="95"/>
      <c r="I107" s="95"/>
      <c r="J107" s="95"/>
      <c r="K107" s="95"/>
      <c r="L107" s="95"/>
      <c r="M107" s="95"/>
      <c r="N107" s="95"/>
      <c r="O107" s="95"/>
      <c r="P107" s="95"/>
      <c r="Q107" s="95"/>
      <c r="R107" s="95"/>
      <c r="S107" s="95"/>
      <c r="T107" s="95"/>
      <c r="U107" s="95"/>
      <c r="V107" s="95"/>
      <c r="W107" s="95"/>
      <c r="X107" s="95"/>
    </row>
    <row r="108">
      <c r="A108" s="90"/>
      <c r="B108" s="91"/>
      <c r="C108" s="92"/>
      <c r="D108" s="93"/>
      <c r="E108" s="94"/>
      <c r="F108" s="94"/>
      <c r="G108" s="95"/>
      <c r="H108" s="95"/>
      <c r="I108" s="95"/>
      <c r="J108" s="95"/>
      <c r="K108" s="95"/>
      <c r="L108" s="95"/>
      <c r="M108" s="95"/>
      <c r="N108" s="95"/>
      <c r="O108" s="95"/>
      <c r="P108" s="95"/>
      <c r="Q108" s="95"/>
      <c r="R108" s="95"/>
      <c r="S108" s="95"/>
      <c r="T108" s="95"/>
      <c r="U108" s="95"/>
      <c r="V108" s="95"/>
      <c r="W108" s="95"/>
      <c r="X108" s="95"/>
    </row>
    <row r="109">
      <c r="A109" s="90"/>
      <c r="B109" s="91"/>
      <c r="C109" s="92"/>
      <c r="D109" s="93"/>
      <c r="E109" s="94"/>
      <c r="F109" s="94"/>
      <c r="G109" s="95"/>
      <c r="H109" s="95"/>
      <c r="I109" s="95"/>
      <c r="J109" s="95"/>
      <c r="K109" s="95"/>
      <c r="L109" s="95"/>
      <c r="M109" s="95"/>
      <c r="N109" s="95"/>
      <c r="O109" s="95"/>
      <c r="P109" s="95"/>
      <c r="Q109" s="95"/>
      <c r="R109" s="95"/>
      <c r="S109" s="95"/>
      <c r="T109" s="95"/>
      <c r="U109" s="95"/>
      <c r="V109" s="95"/>
      <c r="W109" s="95"/>
      <c r="X109" s="95"/>
    </row>
    <row r="110">
      <c r="A110" s="90"/>
      <c r="B110" s="91"/>
      <c r="C110" s="92"/>
      <c r="D110" s="93"/>
      <c r="E110" s="94"/>
      <c r="F110" s="94"/>
      <c r="G110" s="95"/>
      <c r="H110" s="95"/>
      <c r="I110" s="95"/>
      <c r="J110" s="95"/>
      <c r="K110" s="95"/>
      <c r="L110" s="95"/>
      <c r="M110" s="95"/>
      <c r="N110" s="95"/>
      <c r="O110" s="95"/>
      <c r="P110" s="95"/>
      <c r="Q110" s="95"/>
      <c r="R110" s="95"/>
      <c r="S110" s="95"/>
      <c r="T110" s="95"/>
      <c r="U110" s="95"/>
      <c r="V110" s="95"/>
      <c r="W110" s="95"/>
      <c r="X110" s="95"/>
    </row>
    <row r="111">
      <c r="A111" s="90"/>
      <c r="B111" s="91"/>
      <c r="C111" s="92"/>
      <c r="D111" s="93"/>
      <c r="E111" s="94"/>
      <c r="F111" s="94"/>
      <c r="G111" s="95"/>
      <c r="H111" s="95"/>
      <c r="I111" s="95"/>
      <c r="J111" s="95"/>
      <c r="K111" s="95"/>
      <c r="L111" s="95"/>
      <c r="M111" s="95"/>
      <c r="N111" s="95"/>
      <c r="O111" s="95"/>
      <c r="P111" s="95"/>
      <c r="Q111" s="95"/>
      <c r="R111" s="95"/>
      <c r="S111" s="95"/>
      <c r="T111" s="95"/>
      <c r="U111" s="95"/>
      <c r="V111" s="95"/>
      <c r="W111" s="95"/>
      <c r="X111" s="95"/>
    </row>
    <row r="112">
      <c r="A112" s="90"/>
      <c r="B112" s="91"/>
      <c r="C112" s="92"/>
      <c r="D112" s="93"/>
      <c r="E112" s="94"/>
      <c r="F112" s="94"/>
      <c r="G112" s="95"/>
      <c r="H112" s="95"/>
      <c r="I112" s="95"/>
      <c r="J112" s="95"/>
      <c r="K112" s="95"/>
      <c r="L112" s="95"/>
      <c r="M112" s="95"/>
      <c r="N112" s="95"/>
      <c r="O112" s="95"/>
      <c r="P112" s="95"/>
      <c r="Q112" s="95"/>
      <c r="R112" s="95"/>
      <c r="S112" s="95"/>
      <c r="T112" s="95"/>
      <c r="U112" s="95"/>
      <c r="V112" s="95"/>
      <c r="W112" s="95"/>
      <c r="X112" s="95"/>
    </row>
    <row r="113">
      <c r="A113" s="90"/>
      <c r="B113" s="91"/>
      <c r="C113" s="92"/>
      <c r="D113" s="93"/>
      <c r="E113" s="94"/>
      <c r="F113" s="94"/>
      <c r="G113" s="95"/>
      <c r="H113" s="95"/>
      <c r="I113" s="95"/>
      <c r="J113" s="95"/>
      <c r="K113" s="95"/>
      <c r="L113" s="95"/>
      <c r="M113" s="95"/>
      <c r="N113" s="95"/>
      <c r="O113" s="95"/>
      <c r="P113" s="95"/>
      <c r="Q113" s="95"/>
      <c r="R113" s="95"/>
      <c r="S113" s="95"/>
      <c r="T113" s="95"/>
      <c r="U113" s="95"/>
      <c r="V113" s="95"/>
      <c r="W113" s="95"/>
      <c r="X113" s="95"/>
    </row>
    <row r="114">
      <c r="A114" s="90"/>
      <c r="B114" s="91"/>
      <c r="C114" s="92"/>
      <c r="D114" s="93"/>
      <c r="E114" s="94"/>
      <c r="F114" s="94"/>
      <c r="G114" s="95"/>
      <c r="H114" s="95"/>
      <c r="I114" s="95"/>
      <c r="J114" s="95"/>
      <c r="K114" s="95"/>
      <c r="L114" s="95"/>
      <c r="M114" s="95"/>
      <c r="N114" s="95"/>
      <c r="O114" s="95"/>
      <c r="P114" s="95"/>
      <c r="Q114" s="95"/>
      <c r="R114" s="95"/>
      <c r="S114" s="95"/>
      <c r="T114" s="95"/>
      <c r="U114" s="95"/>
      <c r="V114" s="95"/>
      <c r="W114" s="95"/>
      <c r="X114" s="95"/>
    </row>
    <row r="115">
      <c r="A115" s="90"/>
      <c r="B115" s="91"/>
      <c r="C115" s="92"/>
      <c r="D115" s="93"/>
      <c r="E115" s="94"/>
      <c r="F115" s="94"/>
      <c r="G115" s="95"/>
      <c r="H115" s="95"/>
      <c r="I115" s="95"/>
      <c r="J115" s="95"/>
      <c r="K115" s="95"/>
      <c r="L115" s="95"/>
      <c r="M115" s="95"/>
      <c r="N115" s="95"/>
      <c r="O115" s="95"/>
      <c r="P115" s="95"/>
      <c r="Q115" s="95"/>
      <c r="R115" s="95"/>
      <c r="S115" s="95"/>
      <c r="T115" s="95"/>
      <c r="U115" s="95"/>
      <c r="V115" s="95"/>
      <c r="W115" s="95"/>
      <c r="X115" s="95"/>
    </row>
    <row r="116">
      <c r="A116" s="90"/>
      <c r="B116" s="91"/>
      <c r="C116" s="92"/>
      <c r="D116" s="93"/>
      <c r="E116" s="94"/>
      <c r="F116" s="94"/>
      <c r="G116" s="95"/>
      <c r="H116" s="95"/>
      <c r="I116" s="95"/>
      <c r="J116" s="95"/>
      <c r="K116" s="95"/>
      <c r="L116" s="95"/>
      <c r="M116" s="95"/>
      <c r="N116" s="95"/>
      <c r="O116" s="95"/>
      <c r="P116" s="95"/>
      <c r="Q116" s="95"/>
      <c r="R116" s="95"/>
      <c r="S116" s="95"/>
      <c r="T116" s="95"/>
      <c r="U116" s="95"/>
      <c r="V116" s="95"/>
      <c r="W116" s="95"/>
      <c r="X116" s="95"/>
    </row>
    <row r="117">
      <c r="A117" s="90"/>
      <c r="B117" s="91"/>
      <c r="C117" s="92"/>
      <c r="D117" s="93"/>
      <c r="E117" s="94"/>
      <c r="F117" s="94"/>
      <c r="G117" s="95"/>
      <c r="H117" s="95"/>
      <c r="I117" s="95"/>
      <c r="J117" s="95"/>
      <c r="K117" s="95"/>
      <c r="L117" s="95"/>
      <c r="M117" s="95"/>
      <c r="N117" s="95"/>
      <c r="O117" s="95"/>
      <c r="P117" s="95"/>
      <c r="Q117" s="95"/>
      <c r="R117" s="95"/>
      <c r="S117" s="95"/>
      <c r="T117" s="95"/>
      <c r="U117" s="95"/>
      <c r="V117" s="95"/>
      <c r="W117" s="95"/>
      <c r="X117" s="95"/>
    </row>
    <row r="118">
      <c r="A118" s="90"/>
      <c r="B118" s="91"/>
      <c r="C118" s="92"/>
      <c r="D118" s="93"/>
      <c r="E118" s="94"/>
      <c r="F118" s="94"/>
      <c r="G118" s="95"/>
      <c r="H118" s="95"/>
      <c r="I118" s="95"/>
      <c r="J118" s="95"/>
      <c r="K118" s="95"/>
      <c r="L118" s="95"/>
      <c r="M118" s="95"/>
      <c r="N118" s="95"/>
      <c r="O118" s="95"/>
      <c r="P118" s="95"/>
      <c r="Q118" s="95"/>
      <c r="R118" s="95"/>
      <c r="S118" s="95"/>
      <c r="T118" s="95"/>
      <c r="U118" s="95"/>
      <c r="V118" s="95"/>
      <c r="W118" s="95"/>
      <c r="X118" s="95"/>
    </row>
    <row r="119">
      <c r="A119" s="90"/>
      <c r="B119" s="91"/>
      <c r="C119" s="92"/>
      <c r="D119" s="93"/>
      <c r="E119" s="94"/>
      <c r="F119" s="94"/>
      <c r="G119" s="95"/>
      <c r="H119" s="95"/>
      <c r="I119" s="95"/>
      <c r="J119" s="95"/>
      <c r="K119" s="95"/>
      <c r="L119" s="95"/>
      <c r="M119" s="95"/>
      <c r="N119" s="95"/>
      <c r="O119" s="95"/>
      <c r="P119" s="95"/>
      <c r="Q119" s="95"/>
      <c r="R119" s="95"/>
      <c r="S119" s="95"/>
      <c r="T119" s="95"/>
      <c r="U119" s="95"/>
      <c r="V119" s="95"/>
      <c r="W119" s="95"/>
      <c r="X119" s="95"/>
    </row>
    <row r="120">
      <c r="A120" s="90"/>
      <c r="B120" s="91"/>
      <c r="C120" s="92"/>
      <c r="D120" s="93"/>
      <c r="E120" s="94"/>
      <c r="F120" s="94"/>
      <c r="G120" s="95"/>
      <c r="H120" s="95"/>
      <c r="I120" s="95"/>
      <c r="J120" s="95"/>
      <c r="K120" s="95"/>
      <c r="L120" s="95"/>
      <c r="M120" s="95"/>
      <c r="N120" s="95"/>
      <c r="O120" s="95"/>
      <c r="P120" s="95"/>
      <c r="Q120" s="95"/>
      <c r="R120" s="95"/>
      <c r="S120" s="95"/>
      <c r="T120" s="95"/>
      <c r="U120" s="95"/>
      <c r="V120" s="95"/>
      <c r="W120" s="95"/>
      <c r="X120" s="95"/>
    </row>
    <row r="121">
      <c r="A121" s="90"/>
      <c r="B121" s="91"/>
      <c r="C121" s="92"/>
      <c r="D121" s="93"/>
      <c r="E121" s="94"/>
      <c r="F121" s="94"/>
      <c r="G121" s="95"/>
      <c r="H121" s="95"/>
      <c r="I121" s="95"/>
      <c r="J121" s="95"/>
      <c r="K121" s="95"/>
      <c r="L121" s="95"/>
      <c r="M121" s="95"/>
      <c r="N121" s="95"/>
      <c r="O121" s="95"/>
      <c r="P121" s="95"/>
      <c r="Q121" s="95"/>
      <c r="R121" s="95"/>
      <c r="S121" s="95"/>
      <c r="T121" s="95"/>
      <c r="U121" s="95"/>
      <c r="V121" s="95"/>
      <c r="W121" s="95"/>
      <c r="X121" s="95"/>
    </row>
    <row r="122">
      <c r="A122" s="90"/>
      <c r="B122" s="91"/>
      <c r="C122" s="92"/>
      <c r="D122" s="93"/>
      <c r="E122" s="94"/>
      <c r="F122" s="94"/>
      <c r="G122" s="95"/>
      <c r="H122" s="95"/>
      <c r="I122" s="95"/>
      <c r="J122" s="95"/>
      <c r="K122" s="95"/>
      <c r="L122" s="95"/>
      <c r="M122" s="95"/>
      <c r="N122" s="95"/>
      <c r="O122" s="95"/>
      <c r="P122" s="95"/>
      <c r="Q122" s="95"/>
      <c r="R122" s="95"/>
      <c r="S122" s="95"/>
      <c r="T122" s="95"/>
      <c r="U122" s="95"/>
      <c r="V122" s="95"/>
      <c r="W122" s="95"/>
      <c r="X122" s="95"/>
    </row>
    <row r="123">
      <c r="A123" s="90"/>
      <c r="B123" s="91"/>
      <c r="C123" s="92"/>
      <c r="D123" s="93"/>
      <c r="E123" s="94"/>
      <c r="F123" s="94"/>
      <c r="G123" s="95"/>
      <c r="H123" s="95"/>
      <c r="I123" s="95"/>
      <c r="J123" s="95"/>
      <c r="K123" s="95"/>
      <c r="L123" s="95"/>
      <c r="M123" s="95"/>
      <c r="N123" s="95"/>
      <c r="O123" s="95"/>
      <c r="P123" s="95"/>
      <c r="Q123" s="95"/>
      <c r="R123" s="95"/>
      <c r="S123" s="95"/>
      <c r="T123" s="95"/>
      <c r="U123" s="95"/>
      <c r="V123" s="95"/>
      <c r="W123" s="95"/>
      <c r="X123" s="95"/>
    </row>
    <row r="124">
      <c r="A124" s="90"/>
      <c r="B124" s="91"/>
      <c r="C124" s="92"/>
      <c r="D124" s="93"/>
      <c r="E124" s="94"/>
      <c r="F124" s="94"/>
      <c r="G124" s="92"/>
      <c r="H124" s="95"/>
      <c r="I124" s="95"/>
      <c r="J124" s="95"/>
      <c r="K124" s="95"/>
      <c r="L124" s="95"/>
      <c r="M124" s="95"/>
      <c r="N124" s="95"/>
      <c r="O124" s="95"/>
      <c r="P124" s="95"/>
      <c r="Q124" s="95"/>
      <c r="R124" s="95"/>
      <c r="S124" s="95"/>
      <c r="T124" s="95"/>
      <c r="U124" s="95"/>
      <c r="V124" s="95"/>
      <c r="W124" s="95"/>
      <c r="X124" s="95"/>
    </row>
    <row r="125">
      <c r="A125" s="90"/>
      <c r="B125" s="91"/>
      <c r="C125" s="92"/>
      <c r="D125" s="93"/>
      <c r="E125" s="94"/>
      <c r="F125" s="94"/>
      <c r="G125" s="95"/>
      <c r="H125" s="95"/>
      <c r="I125" s="95"/>
      <c r="J125" s="95"/>
      <c r="K125" s="95"/>
      <c r="L125" s="95"/>
      <c r="M125" s="95"/>
      <c r="N125" s="95"/>
      <c r="O125" s="95"/>
      <c r="P125" s="95"/>
      <c r="Q125" s="95"/>
      <c r="R125" s="95"/>
      <c r="S125" s="95"/>
      <c r="T125" s="95"/>
      <c r="U125" s="95"/>
      <c r="V125" s="95"/>
      <c r="W125" s="95"/>
      <c r="X125" s="95"/>
    </row>
    <row r="126">
      <c r="A126" s="90"/>
      <c r="B126" s="91"/>
      <c r="C126" s="92"/>
      <c r="D126" s="93"/>
      <c r="E126" s="94"/>
      <c r="F126" s="94"/>
      <c r="G126" s="95"/>
      <c r="H126" s="95"/>
      <c r="I126" s="95"/>
      <c r="J126" s="95"/>
      <c r="K126" s="95"/>
      <c r="L126" s="95"/>
      <c r="M126" s="95"/>
      <c r="N126" s="95"/>
      <c r="O126" s="95"/>
      <c r="P126" s="95"/>
      <c r="Q126" s="95"/>
      <c r="R126" s="95"/>
      <c r="S126" s="95"/>
      <c r="T126" s="95"/>
      <c r="U126" s="95"/>
      <c r="V126" s="95"/>
      <c r="W126" s="95"/>
      <c r="X126" s="95"/>
    </row>
    <row r="127">
      <c r="A127" s="90"/>
      <c r="B127" s="91"/>
      <c r="C127" s="92"/>
      <c r="D127" s="93"/>
      <c r="E127" s="94"/>
      <c r="F127" s="94"/>
      <c r="G127" s="95"/>
      <c r="H127" s="95"/>
      <c r="I127" s="95"/>
      <c r="J127" s="95"/>
      <c r="K127" s="95"/>
      <c r="L127" s="95"/>
      <c r="M127" s="95"/>
      <c r="N127" s="95"/>
      <c r="O127" s="95"/>
      <c r="P127" s="95"/>
      <c r="Q127" s="95"/>
      <c r="R127" s="95"/>
      <c r="S127" s="95"/>
      <c r="T127" s="95"/>
      <c r="U127" s="95"/>
      <c r="V127" s="95"/>
      <c r="W127" s="95"/>
      <c r="X127" s="95"/>
    </row>
    <row r="128">
      <c r="A128" s="90"/>
      <c r="B128" s="91"/>
      <c r="C128" s="92"/>
      <c r="D128" s="93"/>
      <c r="E128" s="94"/>
      <c r="F128" s="94"/>
      <c r="G128" s="95"/>
      <c r="H128" s="95"/>
      <c r="I128" s="95"/>
      <c r="J128" s="95"/>
      <c r="K128" s="95"/>
      <c r="L128" s="95"/>
      <c r="M128" s="95"/>
      <c r="N128" s="95"/>
      <c r="O128" s="95"/>
      <c r="P128" s="95"/>
      <c r="Q128" s="95"/>
      <c r="R128" s="95"/>
      <c r="S128" s="95"/>
      <c r="T128" s="95"/>
      <c r="U128" s="95"/>
      <c r="V128" s="95"/>
      <c r="W128" s="95"/>
      <c r="X128" s="95"/>
    </row>
    <row r="129">
      <c r="A129" s="90"/>
      <c r="B129" s="91"/>
      <c r="C129" s="92"/>
      <c r="D129" s="93"/>
      <c r="E129" s="94"/>
      <c r="F129" s="94"/>
      <c r="G129" s="95"/>
      <c r="H129" s="95"/>
      <c r="I129" s="95"/>
      <c r="J129" s="95"/>
      <c r="K129" s="95"/>
      <c r="L129" s="95"/>
      <c r="M129" s="95"/>
      <c r="N129" s="95"/>
      <c r="O129" s="95"/>
      <c r="P129" s="95"/>
      <c r="Q129" s="95"/>
      <c r="R129" s="95"/>
      <c r="S129" s="95"/>
      <c r="T129" s="95"/>
      <c r="U129" s="95"/>
      <c r="V129" s="95"/>
      <c r="W129" s="95"/>
      <c r="X129" s="95"/>
    </row>
    <row r="130">
      <c r="A130" s="90"/>
      <c r="B130" s="91"/>
      <c r="C130" s="92"/>
      <c r="D130" s="93"/>
      <c r="E130" s="94"/>
      <c r="F130" s="94"/>
      <c r="G130" s="95"/>
      <c r="H130" s="95"/>
      <c r="I130" s="95"/>
      <c r="J130" s="95"/>
      <c r="K130" s="95"/>
      <c r="L130" s="95"/>
      <c r="M130" s="95"/>
      <c r="N130" s="95"/>
      <c r="O130" s="95"/>
      <c r="P130" s="95"/>
      <c r="Q130" s="95"/>
      <c r="R130" s="95"/>
      <c r="S130" s="95"/>
      <c r="T130" s="95"/>
      <c r="U130" s="95"/>
      <c r="V130" s="95"/>
      <c r="W130" s="95"/>
      <c r="X130" s="95"/>
    </row>
    <row r="131">
      <c r="A131" s="90"/>
      <c r="B131" s="91"/>
      <c r="C131" s="92"/>
      <c r="D131" s="93"/>
      <c r="E131" s="94"/>
      <c r="F131" s="94"/>
      <c r="G131" s="95"/>
      <c r="H131" s="95"/>
      <c r="I131" s="95"/>
      <c r="J131" s="95"/>
      <c r="K131" s="95"/>
      <c r="L131" s="95"/>
      <c r="M131" s="95"/>
      <c r="N131" s="95"/>
      <c r="O131" s="95"/>
      <c r="P131" s="95"/>
      <c r="Q131" s="95"/>
      <c r="R131" s="95"/>
      <c r="S131" s="95"/>
      <c r="T131" s="95"/>
      <c r="U131" s="95"/>
      <c r="V131" s="95"/>
      <c r="W131" s="95"/>
      <c r="X131" s="95"/>
    </row>
    <row r="132">
      <c r="A132" s="90"/>
      <c r="B132" s="91"/>
      <c r="C132" s="92"/>
      <c r="D132" s="93"/>
      <c r="E132" s="94"/>
      <c r="F132" s="94"/>
      <c r="G132" s="95"/>
      <c r="H132" s="95"/>
      <c r="I132" s="95"/>
      <c r="J132" s="95"/>
      <c r="K132" s="95"/>
      <c r="L132" s="95"/>
      <c r="M132" s="95"/>
      <c r="N132" s="95"/>
      <c r="O132" s="95"/>
      <c r="P132" s="95"/>
      <c r="Q132" s="95"/>
      <c r="R132" s="95"/>
      <c r="S132" s="95"/>
      <c r="T132" s="95"/>
      <c r="U132" s="95"/>
      <c r="V132" s="95"/>
      <c r="W132" s="95"/>
      <c r="X132" s="95"/>
    </row>
    <row r="133">
      <c r="A133" s="90"/>
      <c r="B133" s="91"/>
      <c r="C133" s="92"/>
      <c r="D133" s="93"/>
      <c r="E133" s="94"/>
      <c r="F133" s="94"/>
      <c r="G133" s="95"/>
      <c r="H133" s="95"/>
      <c r="I133" s="95"/>
      <c r="J133" s="95"/>
      <c r="K133" s="95"/>
      <c r="L133" s="95"/>
      <c r="M133" s="95"/>
      <c r="N133" s="95"/>
      <c r="O133" s="95"/>
      <c r="P133" s="95"/>
      <c r="Q133" s="95"/>
      <c r="R133" s="95"/>
      <c r="S133" s="95"/>
      <c r="T133" s="95"/>
      <c r="U133" s="95"/>
      <c r="V133" s="95"/>
      <c r="W133" s="95"/>
      <c r="X133" s="95"/>
    </row>
    <row r="134">
      <c r="A134" s="90"/>
      <c r="B134" s="91"/>
      <c r="C134" s="92"/>
      <c r="D134" s="93"/>
      <c r="E134" s="94"/>
      <c r="F134" s="94"/>
      <c r="G134" s="95"/>
      <c r="H134" s="95"/>
      <c r="I134" s="95"/>
      <c r="J134" s="95"/>
      <c r="K134" s="95"/>
      <c r="L134" s="95"/>
      <c r="M134" s="95"/>
      <c r="N134" s="95"/>
      <c r="O134" s="95"/>
      <c r="P134" s="95"/>
      <c r="Q134" s="95"/>
      <c r="R134" s="95"/>
      <c r="S134" s="95"/>
      <c r="T134" s="95"/>
      <c r="U134" s="95"/>
      <c r="V134" s="95"/>
      <c r="W134" s="95"/>
      <c r="X134" s="95"/>
    </row>
    <row r="135">
      <c r="A135" s="90"/>
      <c r="B135" s="91"/>
      <c r="C135" s="92"/>
      <c r="D135" s="93"/>
      <c r="E135" s="94"/>
      <c r="F135" s="94"/>
      <c r="G135" s="95"/>
      <c r="H135" s="95"/>
      <c r="I135" s="95"/>
      <c r="J135" s="95"/>
      <c r="K135" s="95"/>
      <c r="L135" s="95"/>
      <c r="M135" s="95"/>
      <c r="N135" s="95"/>
      <c r="O135" s="95"/>
      <c r="P135" s="95"/>
      <c r="Q135" s="95"/>
      <c r="R135" s="95"/>
      <c r="S135" s="95"/>
      <c r="T135" s="95"/>
      <c r="U135" s="95"/>
      <c r="V135" s="95"/>
      <c r="W135" s="95"/>
      <c r="X135" s="95"/>
    </row>
    <row r="136">
      <c r="A136" s="90"/>
      <c r="B136" s="91"/>
      <c r="C136" s="92"/>
      <c r="D136" s="93"/>
      <c r="E136" s="94"/>
      <c r="F136" s="94"/>
      <c r="G136" s="95"/>
      <c r="H136" s="95"/>
      <c r="I136" s="95"/>
      <c r="J136" s="95"/>
      <c r="K136" s="95"/>
      <c r="L136" s="95"/>
      <c r="M136" s="95"/>
      <c r="N136" s="95"/>
      <c r="O136" s="95"/>
      <c r="P136" s="95"/>
      <c r="Q136" s="95"/>
      <c r="R136" s="95"/>
      <c r="S136" s="95"/>
      <c r="T136" s="95"/>
      <c r="U136" s="95"/>
      <c r="V136" s="95"/>
      <c r="W136" s="95"/>
      <c r="X136" s="95"/>
    </row>
    <row r="137">
      <c r="A137" s="90"/>
      <c r="B137" s="91"/>
      <c r="C137" s="92"/>
      <c r="D137" s="93"/>
      <c r="E137" s="94"/>
      <c r="F137" s="94"/>
      <c r="G137" s="95"/>
      <c r="H137" s="95"/>
      <c r="I137" s="95"/>
      <c r="J137" s="95"/>
      <c r="K137" s="95"/>
      <c r="L137" s="95"/>
      <c r="M137" s="95"/>
      <c r="N137" s="95"/>
      <c r="O137" s="95"/>
      <c r="P137" s="95"/>
      <c r="Q137" s="95"/>
      <c r="R137" s="95"/>
      <c r="S137" s="95"/>
      <c r="T137" s="95"/>
      <c r="U137" s="95"/>
      <c r="V137" s="95"/>
      <c r="W137" s="95"/>
      <c r="X137" s="95"/>
    </row>
    <row r="138">
      <c r="A138" s="90"/>
      <c r="B138" s="91"/>
      <c r="C138" s="92"/>
      <c r="D138" s="93"/>
      <c r="E138" s="94"/>
      <c r="F138" s="94"/>
      <c r="G138" s="95"/>
      <c r="H138" s="95"/>
      <c r="I138" s="95"/>
      <c r="J138" s="95"/>
      <c r="K138" s="95"/>
      <c r="L138" s="95"/>
      <c r="M138" s="95"/>
      <c r="N138" s="95"/>
      <c r="O138" s="95"/>
      <c r="P138" s="95"/>
      <c r="Q138" s="95"/>
      <c r="R138" s="95"/>
      <c r="S138" s="95"/>
      <c r="T138" s="95"/>
      <c r="U138" s="95"/>
      <c r="V138" s="95"/>
      <c r="W138" s="95"/>
      <c r="X138" s="95"/>
    </row>
    <row r="139">
      <c r="A139" s="90"/>
      <c r="B139" s="91"/>
      <c r="C139" s="92"/>
      <c r="D139" s="93"/>
      <c r="E139" s="94"/>
      <c r="F139" s="94"/>
      <c r="G139" s="95"/>
      <c r="H139" s="95"/>
      <c r="I139" s="95"/>
      <c r="J139" s="95"/>
      <c r="K139" s="95"/>
      <c r="L139" s="95"/>
      <c r="M139" s="95"/>
      <c r="N139" s="95"/>
      <c r="O139" s="95"/>
      <c r="P139" s="95"/>
      <c r="Q139" s="95"/>
      <c r="R139" s="95"/>
      <c r="S139" s="95"/>
      <c r="T139" s="95"/>
      <c r="U139" s="95"/>
      <c r="V139" s="95"/>
      <c r="W139" s="95"/>
      <c r="X139" s="95"/>
    </row>
    <row r="140">
      <c r="A140" s="90"/>
      <c r="B140" s="91"/>
      <c r="C140" s="92"/>
      <c r="D140" s="93"/>
      <c r="E140" s="94"/>
      <c r="F140" s="94"/>
      <c r="G140" s="95"/>
      <c r="H140" s="95"/>
      <c r="I140" s="95"/>
      <c r="J140" s="95"/>
      <c r="K140" s="95"/>
      <c r="L140" s="95"/>
      <c r="M140" s="95"/>
      <c r="N140" s="95"/>
      <c r="O140" s="95"/>
      <c r="P140" s="95"/>
      <c r="Q140" s="95"/>
      <c r="R140" s="95"/>
      <c r="S140" s="95"/>
      <c r="T140" s="95"/>
      <c r="U140" s="95"/>
      <c r="V140" s="95"/>
      <c r="W140" s="95"/>
      <c r="X140" s="95"/>
    </row>
    <row r="141">
      <c r="A141" s="90"/>
      <c r="B141" s="91"/>
      <c r="C141" s="92"/>
      <c r="D141" s="93"/>
      <c r="E141" s="94"/>
      <c r="F141" s="94"/>
      <c r="G141" s="95"/>
      <c r="H141" s="95"/>
      <c r="I141" s="95"/>
      <c r="J141" s="95"/>
      <c r="K141" s="95"/>
      <c r="L141" s="95"/>
      <c r="M141" s="95"/>
      <c r="N141" s="95"/>
      <c r="O141" s="95"/>
      <c r="P141" s="95"/>
      <c r="Q141" s="95"/>
      <c r="R141" s="95"/>
      <c r="S141" s="95"/>
      <c r="T141" s="95"/>
      <c r="U141" s="95"/>
      <c r="V141" s="95"/>
      <c r="W141" s="95"/>
      <c r="X141" s="95"/>
    </row>
    <row r="142">
      <c r="A142" s="90"/>
      <c r="B142" s="91"/>
      <c r="C142" s="92"/>
      <c r="D142" s="93"/>
      <c r="E142" s="94"/>
      <c r="F142" s="94"/>
      <c r="G142" s="95"/>
      <c r="H142" s="95"/>
      <c r="I142" s="95"/>
      <c r="J142" s="95"/>
      <c r="K142" s="95"/>
      <c r="L142" s="95"/>
      <c r="M142" s="95"/>
      <c r="N142" s="95"/>
      <c r="O142" s="95"/>
      <c r="P142" s="95"/>
      <c r="Q142" s="95"/>
      <c r="R142" s="95"/>
      <c r="S142" s="95"/>
      <c r="T142" s="95"/>
      <c r="U142" s="95"/>
      <c r="V142" s="95"/>
      <c r="W142" s="95"/>
      <c r="X142" s="95"/>
    </row>
    <row r="143">
      <c r="A143" s="90"/>
      <c r="B143" s="91"/>
      <c r="C143" s="92"/>
      <c r="D143" s="93"/>
      <c r="E143" s="94"/>
      <c r="F143" s="94"/>
      <c r="G143" s="95"/>
      <c r="H143" s="95"/>
      <c r="I143" s="95"/>
      <c r="J143" s="95"/>
      <c r="K143" s="95"/>
      <c r="L143" s="95"/>
      <c r="M143" s="95"/>
      <c r="N143" s="95"/>
      <c r="O143" s="95"/>
      <c r="P143" s="95"/>
      <c r="Q143" s="95"/>
      <c r="R143" s="95"/>
      <c r="S143" s="95"/>
      <c r="T143" s="95"/>
      <c r="U143" s="95"/>
      <c r="V143" s="95"/>
      <c r="W143" s="95"/>
      <c r="X143" s="95"/>
    </row>
    <row r="144">
      <c r="A144" s="90"/>
      <c r="B144" s="91"/>
      <c r="C144" s="92"/>
      <c r="D144" s="93"/>
      <c r="E144" s="94"/>
      <c r="F144" s="94"/>
      <c r="G144" s="92"/>
      <c r="H144" s="95"/>
      <c r="I144" s="95"/>
      <c r="J144" s="95"/>
      <c r="K144" s="95"/>
      <c r="L144" s="95"/>
      <c r="M144" s="95"/>
      <c r="N144" s="95"/>
      <c r="O144" s="95"/>
      <c r="P144" s="95"/>
      <c r="Q144" s="95"/>
      <c r="R144" s="95"/>
      <c r="S144" s="95"/>
      <c r="T144" s="95"/>
      <c r="U144" s="95"/>
      <c r="V144" s="95"/>
      <c r="W144" s="95"/>
      <c r="X144" s="95"/>
    </row>
    <row r="145">
      <c r="A145" s="90"/>
      <c r="B145" s="91"/>
      <c r="C145" s="92"/>
      <c r="D145" s="93"/>
      <c r="E145" s="94"/>
      <c r="F145" s="94"/>
      <c r="G145" s="95"/>
      <c r="H145" s="95"/>
      <c r="I145" s="95"/>
      <c r="J145" s="95"/>
      <c r="K145" s="95"/>
      <c r="L145" s="95"/>
      <c r="M145" s="95"/>
      <c r="N145" s="95"/>
      <c r="O145" s="95"/>
      <c r="P145" s="95"/>
      <c r="Q145" s="95"/>
      <c r="R145" s="95"/>
      <c r="S145" s="95"/>
      <c r="T145" s="95"/>
      <c r="U145" s="95"/>
      <c r="V145" s="95"/>
      <c r="W145" s="95"/>
      <c r="X145" s="95"/>
    </row>
    <row r="146">
      <c r="A146" s="90"/>
      <c r="B146" s="91"/>
      <c r="C146" s="92"/>
      <c r="D146" s="93"/>
      <c r="E146" s="94"/>
      <c r="F146" s="94"/>
      <c r="G146" s="95"/>
      <c r="H146" s="95"/>
      <c r="I146" s="95"/>
      <c r="J146" s="95"/>
      <c r="K146" s="95"/>
      <c r="L146" s="95"/>
      <c r="M146" s="95"/>
      <c r="N146" s="95"/>
      <c r="O146" s="95"/>
      <c r="P146" s="95"/>
      <c r="Q146" s="95"/>
      <c r="R146" s="95"/>
      <c r="S146" s="95"/>
      <c r="T146" s="95"/>
      <c r="U146" s="95"/>
      <c r="V146" s="95"/>
      <c r="W146" s="95"/>
      <c r="X146" s="95"/>
    </row>
    <row r="147">
      <c r="A147" s="90"/>
      <c r="B147" s="91"/>
      <c r="C147" s="92"/>
      <c r="D147" s="93"/>
      <c r="E147" s="94"/>
      <c r="F147" s="94"/>
      <c r="G147" s="95"/>
      <c r="H147" s="95"/>
      <c r="I147" s="95"/>
      <c r="J147" s="95"/>
      <c r="K147" s="95"/>
      <c r="L147" s="95"/>
      <c r="M147" s="95"/>
      <c r="N147" s="95"/>
      <c r="O147" s="95"/>
      <c r="P147" s="95"/>
      <c r="Q147" s="95"/>
      <c r="R147" s="95"/>
      <c r="S147" s="95"/>
      <c r="T147" s="95"/>
      <c r="U147" s="95"/>
      <c r="V147" s="95"/>
      <c r="W147" s="95"/>
      <c r="X147" s="95"/>
    </row>
    <row r="148">
      <c r="A148" s="90"/>
      <c r="B148" s="91"/>
      <c r="C148" s="92"/>
      <c r="D148" s="93"/>
      <c r="E148" s="94"/>
      <c r="F148" s="94"/>
      <c r="G148" s="95"/>
      <c r="H148" s="95"/>
      <c r="I148" s="95"/>
      <c r="J148" s="95"/>
      <c r="K148" s="95"/>
      <c r="L148" s="95"/>
      <c r="M148" s="95"/>
      <c r="N148" s="95"/>
      <c r="O148" s="95"/>
      <c r="P148" s="95"/>
      <c r="Q148" s="95"/>
      <c r="R148" s="95"/>
      <c r="S148" s="95"/>
      <c r="T148" s="95"/>
      <c r="U148" s="95"/>
      <c r="V148" s="95"/>
      <c r="W148" s="95"/>
      <c r="X148" s="95"/>
    </row>
    <row r="149">
      <c r="A149" s="90"/>
      <c r="B149" s="91"/>
      <c r="C149" s="92"/>
      <c r="D149" s="93"/>
      <c r="E149" s="94"/>
      <c r="F149" s="94"/>
      <c r="G149" s="95"/>
      <c r="H149" s="95"/>
      <c r="I149" s="95"/>
      <c r="J149" s="95"/>
      <c r="K149" s="95"/>
      <c r="L149" s="95"/>
      <c r="M149" s="95"/>
      <c r="N149" s="95"/>
      <c r="O149" s="95"/>
      <c r="P149" s="95"/>
      <c r="Q149" s="95"/>
      <c r="R149" s="95"/>
      <c r="S149" s="95"/>
      <c r="T149" s="95"/>
      <c r="U149" s="95"/>
      <c r="V149" s="95"/>
      <c r="W149" s="95"/>
      <c r="X149" s="95"/>
    </row>
    <row r="150">
      <c r="A150" s="90"/>
      <c r="B150" s="91"/>
      <c r="C150" s="92"/>
      <c r="D150" s="93"/>
      <c r="E150" s="94"/>
      <c r="F150" s="94"/>
      <c r="G150" s="95"/>
      <c r="H150" s="95"/>
      <c r="I150" s="95"/>
      <c r="J150" s="95"/>
      <c r="K150" s="95"/>
      <c r="L150" s="95"/>
      <c r="M150" s="95"/>
      <c r="N150" s="95"/>
      <c r="O150" s="95"/>
      <c r="P150" s="95"/>
      <c r="Q150" s="95"/>
      <c r="R150" s="95"/>
      <c r="S150" s="95"/>
      <c r="T150" s="95"/>
      <c r="U150" s="95"/>
      <c r="V150" s="95"/>
      <c r="W150" s="95"/>
      <c r="X150" s="95"/>
    </row>
    <row r="151">
      <c r="A151" s="90"/>
      <c r="B151" s="91"/>
      <c r="C151" s="92"/>
      <c r="D151" s="93"/>
      <c r="E151" s="94"/>
      <c r="F151" s="94"/>
      <c r="G151" s="95"/>
      <c r="H151" s="95"/>
      <c r="I151" s="95"/>
      <c r="J151" s="95"/>
      <c r="K151" s="95"/>
      <c r="L151" s="95"/>
      <c r="M151" s="95"/>
      <c r="N151" s="95"/>
      <c r="O151" s="95"/>
      <c r="P151" s="95"/>
      <c r="Q151" s="95"/>
      <c r="R151" s="95"/>
      <c r="S151" s="95"/>
      <c r="T151" s="95"/>
      <c r="U151" s="95"/>
      <c r="V151" s="95"/>
      <c r="W151" s="95"/>
      <c r="X151" s="95"/>
    </row>
    <row r="152">
      <c r="A152" s="90"/>
      <c r="B152" s="91"/>
      <c r="C152" s="92"/>
      <c r="D152" s="93"/>
      <c r="E152" s="94"/>
      <c r="F152" s="94"/>
      <c r="G152" s="95"/>
      <c r="H152" s="95"/>
      <c r="I152" s="95"/>
      <c r="J152" s="95"/>
      <c r="K152" s="95"/>
      <c r="L152" s="95"/>
      <c r="M152" s="95"/>
      <c r="N152" s="95"/>
      <c r="O152" s="95"/>
      <c r="P152" s="95"/>
      <c r="Q152" s="95"/>
      <c r="R152" s="95"/>
      <c r="S152" s="95"/>
      <c r="T152" s="95"/>
      <c r="U152" s="95"/>
      <c r="V152" s="95"/>
      <c r="W152" s="95"/>
      <c r="X152" s="95"/>
    </row>
    <row r="153">
      <c r="A153" s="90"/>
      <c r="B153" s="91"/>
      <c r="C153" s="92"/>
      <c r="D153" s="93"/>
      <c r="E153" s="94"/>
      <c r="F153" s="94"/>
      <c r="G153" s="95"/>
      <c r="H153" s="95"/>
      <c r="I153" s="95"/>
      <c r="J153" s="95"/>
      <c r="K153" s="95"/>
      <c r="L153" s="95"/>
      <c r="M153" s="95"/>
      <c r="N153" s="95"/>
      <c r="O153" s="95"/>
      <c r="P153" s="95"/>
      <c r="Q153" s="95"/>
      <c r="R153" s="95"/>
      <c r="S153" s="95"/>
      <c r="T153" s="95"/>
      <c r="U153" s="95"/>
      <c r="V153" s="95"/>
      <c r="W153" s="95"/>
      <c r="X153" s="95"/>
    </row>
    <row r="154">
      <c r="A154" s="90"/>
      <c r="B154" s="91"/>
      <c r="C154" s="92"/>
      <c r="D154" s="93"/>
      <c r="E154" s="94"/>
      <c r="F154" s="94"/>
      <c r="G154" s="95"/>
      <c r="H154" s="95"/>
      <c r="I154" s="95"/>
      <c r="J154" s="95"/>
      <c r="K154" s="95"/>
      <c r="L154" s="95"/>
      <c r="M154" s="95"/>
      <c r="N154" s="95"/>
      <c r="O154" s="95"/>
      <c r="P154" s="95"/>
      <c r="Q154" s="95"/>
      <c r="R154" s="95"/>
      <c r="S154" s="95"/>
      <c r="T154" s="95"/>
      <c r="U154" s="95"/>
      <c r="V154" s="95"/>
      <c r="W154" s="95"/>
      <c r="X154" s="95"/>
    </row>
    <row r="155">
      <c r="A155" s="90"/>
      <c r="B155" s="91"/>
      <c r="C155" s="92"/>
      <c r="D155" s="93"/>
      <c r="E155" s="94"/>
      <c r="F155" s="94"/>
      <c r="G155" s="95"/>
      <c r="H155" s="95"/>
      <c r="I155" s="95"/>
      <c r="J155" s="95"/>
      <c r="K155" s="95"/>
      <c r="L155" s="95"/>
      <c r="M155" s="95"/>
      <c r="N155" s="95"/>
      <c r="O155" s="95"/>
      <c r="P155" s="95"/>
      <c r="Q155" s="95"/>
      <c r="R155" s="95"/>
      <c r="S155" s="95"/>
      <c r="T155" s="95"/>
      <c r="U155" s="95"/>
      <c r="V155" s="95"/>
      <c r="W155" s="95"/>
      <c r="X155" s="95"/>
    </row>
    <row r="156">
      <c r="A156" s="90"/>
      <c r="B156" s="91"/>
      <c r="C156" s="92"/>
      <c r="D156" s="93"/>
      <c r="E156" s="94"/>
      <c r="F156" s="94"/>
      <c r="G156" s="95"/>
      <c r="H156" s="95"/>
      <c r="I156" s="95"/>
      <c r="J156" s="95"/>
      <c r="K156" s="95"/>
      <c r="L156" s="95"/>
      <c r="M156" s="95"/>
      <c r="N156" s="95"/>
      <c r="O156" s="95"/>
      <c r="P156" s="95"/>
      <c r="Q156" s="95"/>
      <c r="R156" s="95"/>
      <c r="S156" s="95"/>
      <c r="T156" s="95"/>
      <c r="U156" s="95"/>
      <c r="V156" s="95"/>
      <c r="W156" s="95"/>
      <c r="X156" s="95"/>
    </row>
    <row r="157">
      <c r="A157" s="90"/>
      <c r="B157" s="91"/>
      <c r="C157" s="92"/>
      <c r="D157" s="93"/>
      <c r="E157" s="94"/>
      <c r="F157" s="94"/>
      <c r="G157" s="95"/>
      <c r="H157" s="95"/>
      <c r="I157" s="95"/>
      <c r="J157" s="95"/>
      <c r="K157" s="95"/>
      <c r="L157" s="95"/>
      <c r="M157" s="95"/>
      <c r="N157" s="95"/>
      <c r="O157" s="95"/>
      <c r="P157" s="95"/>
      <c r="Q157" s="95"/>
      <c r="R157" s="95"/>
      <c r="S157" s="95"/>
      <c r="T157" s="95"/>
      <c r="U157" s="95"/>
      <c r="V157" s="95"/>
      <c r="W157" s="95"/>
      <c r="X157" s="95"/>
    </row>
    <row r="158">
      <c r="A158" s="90"/>
      <c r="B158" s="91"/>
      <c r="C158" s="92"/>
      <c r="D158" s="93"/>
      <c r="E158" s="94"/>
      <c r="F158" s="94"/>
      <c r="G158" s="95"/>
      <c r="H158" s="95"/>
      <c r="I158" s="95"/>
      <c r="J158" s="95"/>
      <c r="K158" s="95"/>
      <c r="L158" s="95"/>
      <c r="M158" s="95"/>
      <c r="N158" s="95"/>
      <c r="O158" s="95"/>
      <c r="P158" s="95"/>
      <c r="Q158" s="95"/>
      <c r="R158" s="95"/>
      <c r="S158" s="95"/>
      <c r="T158" s="95"/>
      <c r="U158" s="95"/>
      <c r="V158" s="95"/>
      <c r="W158" s="95"/>
      <c r="X158" s="95"/>
    </row>
    <row r="159">
      <c r="A159" s="90"/>
      <c r="B159" s="91"/>
      <c r="C159" s="92"/>
      <c r="D159" s="93"/>
      <c r="E159" s="94"/>
      <c r="F159" s="94"/>
      <c r="G159" s="95"/>
      <c r="H159" s="95"/>
      <c r="I159" s="95"/>
      <c r="J159" s="95"/>
      <c r="K159" s="95"/>
      <c r="L159" s="95"/>
      <c r="M159" s="95"/>
      <c r="N159" s="95"/>
      <c r="O159" s="95"/>
      <c r="P159" s="95"/>
      <c r="Q159" s="95"/>
      <c r="R159" s="95"/>
      <c r="S159" s="95"/>
      <c r="T159" s="95"/>
      <c r="U159" s="95"/>
      <c r="V159" s="95"/>
      <c r="W159" s="95"/>
      <c r="X159" s="95"/>
    </row>
    <row r="160">
      <c r="A160" s="90"/>
      <c r="B160" s="91"/>
      <c r="C160" s="92"/>
      <c r="D160" s="93"/>
      <c r="E160" s="94"/>
      <c r="F160" s="94"/>
      <c r="G160" s="95"/>
      <c r="H160" s="95"/>
      <c r="I160" s="95"/>
      <c r="J160" s="95"/>
      <c r="K160" s="95"/>
      <c r="L160" s="95"/>
      <c r="M160" s="95"/>
      <c r="N160" s="95"/>
      <c r="O160" s="95"/>
      <c r="P160" s="95"/>
      <c r="Q160" s="95"/>
      <c r="R160" s="95"/>
      <c r="S160" s="95"/>
      <c r="T160" s="95"/>
      <c r="U160" s="95"/>
      <c r="V160" s="95"/>
      <c r="W160" s="95"/>
      <c r="X160" s="95"/>
    </row>
    <row r="161">
      <c r="A161" s="90"/>
      <c r="B161" s="91"/>
      <c r="C161" s="92"/>
      <c r="D161" s="93"/>
      <c r="E161" s="94"/>
      <c r="F161" s="94"/>
      <c r="G161" s="95"/>
      <c r="H161" s="95"/>
      <c r="I161" s="95"/>
      <c r="J161" s="95"/>
      <c r="K161" s="95"/>
      <c r="L161" s="95"/>
      <c r="M161" s="95"/>
      <c r="N161" s="95"/>
      <c r="O161" s="95"/>
      <c r="P161" s="95"/>
      <c r="Q161" s="95"/>
      <c r="R161" s="95"/>
      <c r="S161" s="95"/>
      <c r="T161" s="95"/>
      <c r="U161" s="95"/>
      <c r="V161" s="95"/>
      <c r="W161" s="95"/>
      <c r="X161" s="95"/>
    </row>
    <row r="162">
      <c r="A162" s="90"/>
      <c r="B162" s="91"/>
      <c r="C162" s="92"/>
      <c r="D162" s="93"/>
      <c r="E162" s="94"/>
      <c r="F162" s="94"/>
      <c r="G162" s="95"/>
      <c r="H162" s="95"/>
      <c r="I162" s="95"/>
      <c r="J162" s="95"/>
      <c r="K162" s="95"/>
      <c r="L162" s="95"/>
      <c r="M162" s="95"/>
      <c r="N162" s="95"/>
      <c r="O162" s="95"/>
      <c r="P162" s="95"/>
      <c r="Q162" s="95"/>
      <c r="R162" s="95"/>
      <c r="S162" s="95"/>
      <c r="T162" s="95"/>
      <c r="U162" s="95"/>
      <c r="V162" s="95"/>
      <c r="W162" s="95"/>
      <c r="X162" s="95"/>
    </row>
    <row r="163">
      <c r="A163" s="90"/>
      <c r="B163" s="91"/>
      <c r="C163" s="92"/>
      <c r="D163" s="93"/>
      <c r="E163" s="94"/>
      <c r="F163" s="94"/>
      <c r="G163" s="95"/>
      <c r="H163" s="95"/>
      <c r="I163" s="95"/>
      <c r="J163" s="95"/>
      <c r="K163" s="95"/>
      <c r="L163" s="95"/>
      <c r="M163" s="95"/>
      <c r="N163" s="95"/>
      <c r="O163" s="95"/>
      <c r="P163" s="95"/>
      <c r="Q163" s="95"/>
      <c r="R163" s="95"/>
      <c r="S163" s="95"/>
      <c r="T163" s="95"/>
      <c r="U163" s="95"/>
      <c r="V163" s="95"/>
      <c r="W163" s="95"/>
      <c r="X163" s="95"/>
    </row>
    <row r="164">
      <c r="A164" s="90"/>
      <c r="B164" s="91"/>
      <c r="C164" s="92"/>
      <c r="D164" s="93"/>
      <c r="E164" s="94"/>
      <c r="F164" s="94"/>
      <c r="G164" s="95"/>
      <c r="H164" s="95"/>
      <c r="I164" s="95"/>
      <c r="J164" s="95"/>
      <c r="K164" s="95"/>
      <c r="L164" s="95"/>
      <c r="M164" s="95"/>
      <c r="N164" s="95"/>
      <c r="O164" s="95"/>
      <c r="P164" s="95"/>
      <c r="Q164" s="95"/>
      <c r="R164" s="95"/>
      <c r="S164" s="95"/>
      <c r="T164" s="95"/>
      <c r="U164" s="95"/>
      <c r="V164" s="95"/>
      <c r="W164" s="95"/>
      <c r="X164" s="95"/>
    </row>
    <row r="165">
      <c r="A165" s="90"/>
      <c r="B165" s="91"/>
      <c r="C165" s="92"/>
      <c r="D165" s="93"/>
      <c r="E165" s="94"/>
      <c r="F165" s="94"/>
      <c r="G165" s="95"/>
      <c r="H165" s="95"/>
      <c r="I165" s="95"/>
      <c r="J165" s="95"/>
      <c r="K165" s="95"/>
      <c r="L165" s="95"/>
      <c r="M165" s="95"/>
      <c r="N165" s="95"/>
      <c r="O165" s="95"/>
      <c r="P165" s="95"/>
      <c r="Q165" s="95"/>
      <c r="R165" s="95"/>
      <c r="S165" s="95"/>
      <c r="T165" s="95"/>
      <c r="U165" s="95"/>
      <c r="V165" s="95"/>
      <c r="W165" s="95"/>
      <c r="X165" s="95"/>
    </row>
    <row r="166">
      <c r="A166" s="90"/>
      <c r="B166" s="91"/>
      <c r="C166" s="92"/>
      <c r="D166" s="93"/>
      <c r="E166" s="94"/>
      <c r="F166" s="94"/>
      <c r="G166" s="95"/>
      <c r="H166" s="95"/>
      <c r="I166" s="95"/>
      <c r="J166" s="95"/>
      <c r="K166" s="95"/>
      <c r="L166" s="95"/>
      <c r="M166" s="95"/>
      <c r="N166" s="95"/>
      <c r="O166" s="95"/>
      <c r="P166" s="95"/>
      <c r="Q166" s="95"/>
      <c r="R166" s="95"/>
      <c r="S166" s="95"/>
      <c r="T166" s="95"/>
      <c r="U166" s="95"/>
      <c r="V166" s="95"/>
      <c r="W166" s="95"/>
      <c r="X166" s="95"/>
    </row>
    <row r="167">
      <c r="A167" s="90"/>
      <c r="B167" s="91"/>
      <c r="C167" s="92"/>
      <c r="D167" s="93"/>
      <c r="E167" s="94"/>
      <c r="F167" s="94"/>
      <c r="G167" s="95"/>
      <c r="H167" s="95"/>
      <c r="I167" s="95"/>
      <c r="J167" s="95"/>
      <c r="K167" s="95"/>
      <c r="L167" s="95"/>
      <c r="M167" s="95"/>
      <c r="N167" s="95"/>
      <c r="O167" s="95"/>
      <c r="P167" s="95"/>
      <c r="Q167" s="95"/>
      <c r="R167" s="95"/>
      <c r="S167" s="95"/>
      <c r="T167" s="95"/>
      <c r="U167" s="95"/>
      <c r="V167" s="95"/>
      <c r="W167" s="95"/>
      <c r="X167" s="95"/>
    </row>
    <row r="168">
      <c r="A168" s="90"/>
      <c r="B168" s="91"/>
      <c r="C168" s="92"/>
      <c r="D168" s="93"/>
      <c r="E168" s="94"/>
      <c r="F168" s="94"/>
      <c r="G168" s="95"/>
      <c r="H168" s="95"/>
      <c r="I168" s="95"/>
      <c r="J168" s="95"/>
      <c r="K168" s="95"/>
      <c r="L168" s="95"/>
      <c r="M168" s="95"/>
      <c r="N168" s="95"/>
      <c r="O168" s="95"/>
      <c r="P168" s="95"/>
      <c r="Q168" s="95"/>
      <c r="R168" s="95"/>
      <c r="S168" s="95"/>
      <c r="T168" s="95"/>
      <c r="U168" s="95"/>
      <c r="V168" s="95"/>
      <c r="W168" s="95"/>
      <c r="X168" s="95"/>
    </row>
    <row r="169">
      <c r="A169" s="90"/>
      <c r="B169" s="91"/>
      <c r="C169" s="92"/>
      <c r="D169" s="93"/>
      <c r="E169" s="94"/>
      <c r="F169" s="94"/>
      <c r="G169" s="95"/>
      <c r="H169" s="95"/>
      <c r="I169" s="95"/>
      <c r="J169" s="95"/>
      <c r="K169" s="95"/>
      <c r="L169" s="95"/>
      <c r="M169" s="95"/>
      <c r="N169" s="95"/>
      <c r="O169" s="95"/>
      <c r="P169" s="95"/>
      <c r="Q169" s="95"/>
      <c r="R169" s="95"/>
      <c r="S169" s="95"/>
      <c r="T169" s="95"/>
      <c r="U169" s="95"/>
      <c r="V169" s="95"/>
      <c r="W169" s="95"/>
      <c r="X169" s="95"/>
    </row>
    <row r="170">
      <c r="A170" s="90"/>
      <c r="B170" s="91"/>
      <c r="C170" s="92"/>
      <c r="D170" s="114"/>
      <c r="E170" s="95"/>
      <c r="F170" s="95"/>
      <c r="G170" s="95"/>
      <c r="H170" s="95"/>
      <c r="I170" s="95"/>
      <c r="J170" s="95"/>
      <c r="K170" s="95"/>
      <c r="L170" s="95"/>
      <c r="M170" s="95"/>
      <c r="N170" s="95"/>
      <c r="O170" s="95"/>
      <c r="P170" s="95"/>
      <c r="Q170" s="95"/>
      <c r="R170" s="95"/>
      <c r="S170" s="95"/>
      <c r="T170" s="95"/>
      <c r="U170" s="95"/>
      <c r="V170" s="95"/>
      <c r="W170" s="95"/>
      <c r="X170" s="95"/>
    </row>
    <row r="171">
      <c r="A171" s="90"/>
      <c r="B171" s="91"/>
      <c r="C171" s="92"/>
      <c r="D171" s="93"/>
      <c r="E171" s="94"/>
      <c r="F171" s="94"/>
      <c r="G171" s="95"/>
      <c r="H171" s="95"/>
      <c r="I171" s="95"/>
      <c r="J171" s="95"/>
      <c r="K171" s="95"/>
      <c r="L171" s="95"/>
      <c r="M171" s="95"/>
      <c r="N171" s="95"/>
      <c r="O171" s="95"/>
      <c r="P171" s="95"/>
      <c r="Q171" s="95"/>
      <c r="R171" s="95"/>
      <c r="S171" s="95"/>
      <c r="T171" s="95"/>
      <c r="U171" s="95"/>
      <c r="V171" s="95"/>
      <c r="W171" s="95"/>
      <c r="X171" s="95"/>
    </row>
    <row r="172">
      <c r="A172" s="90"/>
      <c r="B172" s="91"/>
      <c r="C172" s="92"/>
      <c r="D172" s="93"/>
      <c r="E172" s="94"/>
      <c r="F172" s="94"/>
      <c r="G172" s="95"/>
      <c r="H172" s="95"/>
      <c r="I172" s="95"/>
      <c r="J172" s="95"/>
      <c r="K172" s="95"/>
      <c r="L172" s="95"/>
      <c r="M172" s="95"/>
      <c r="N172" s="95"/>
      <c r="O172" s="95"/>
      <c r="P172" s="95"/>
      <c r="Q172" s="95"/>
      <c r="R172" s="95"/>
      <c r="S172" s="95"/>
      <c r="T172" s="95"/>
      <c r="U172" s="95"/>
      <c r="V172" s="95"/>
      <c r="W172" s="95"/>
      <c r="X172" s="95"/>
    </row>
    <row r="173">
      <c r="A173" s="90"/>
      <c r="B173" s="91"/>
      <c r="C173" s="92"/>
      <c r="D173" s="93"/>
      <c r="E173" s="94"/>
      <c r="F173" s="94"/>
      <c r="G173" s="95"/>
      <c r="H173" s="95"/>
      <c r="I173" s="95"/>
      <c r="J173" s="95"/>
      <c r="K173" s="95"/>
      <c r="L173" s="95"/>
      <c r="M173" s="95"/>
      <c r="N173" s="95"/>
      <c r="O173" s="95"/>
      <c r="P173" s="95"/>
      <c r="Q173" s="95"/>
      <c r="R173" s="95"/>
      <c r="S173" s="95"/>
      <c r="T173" s="95"/>
      <c r="U173" s="95"/>
      <c r="V173" s="95"/>
      <c r="W173" s="95"/>
      <c r="X173" s="95"/>
    </row>
    <row r="174">
      <c r="A174" s="90"/>
      <c r="B174" s="91"/>
      <c r="C174" s="92"/>
      <c r="D174" s="93"/>
      <c r="E174" s="94"/>
      <c r="F174" s="94"/>
      <c r="G174" s="95"/>
      <c r="H174" s="95"/>
      <c r="I174" s="95"/>
      <c r="J174" s="95"/>
      <c r="K174" s="95"/>
      <c r="L174" s="95"/>
      <c r="M174" s="95"/>
      <c r="N174" s="95"/>
      <c r="O174" s="95"/>
      <c r="P174" s="95"/>
      <c r="Q174" s="95"/>
      <c r="R174" s="95"/>
      <c r="S174" s="95"/>
      <c r="T174" s="95"/>
      <c r="U174" s="95"/>
      <c r="V174" s="95"/>
      <c r="W174" s="95"/>
      <c r="X174" s="95"/>
    </row>
    <row r="175">
      <c r="A175" s="90"/>
      <c r="B175" s="91"/>
      <c r="C175" s="92"/>
      <c r="D175" s="93"/>
      <c r="E175" s="94"/>
      <c r="F175" s="94"/>
      <c r="G175" s="95"/>
      <c r="H175" s="95"/>
      <c r="I175" s="95"/>
      <c r="J175" s="95"/>
      <c r="K175" s="95"/>
      <c r="L175" s="95"/>
      <c r="M175" s="95"/>
      <c r="N175" s="95"/>
      <c r="O175" s="95"/>
      <c r="P175" s="95"/>
      <c r="Q175" s="95"/>
      <c r="R175" s="95"/>
      <c r="S175" s="95"/>
      <c r="T175" s="95"/>
      <c r="U175" s="95"/>
      <c r="V175" s="95"/>
      <c r="W175" s="95"/>
      <c r="X175" s="95"/>
    </row>
    <row r="176">
      <c r="A176" s="90"/>
      <c r="B176" s="91"/>
      <c r="C176" s="92"/>
      <c r="D176" s="93"/>
      <c r="E176" s="94"/>
      <c r="F176" s="94"/>
      <c r="G176" s="95"/>
      <c r="H176" s="95"/>
      <c r="I176" s="95"/>
      <c r="J176" s="95"/>
      <c r="K176" s="95"/>
      <c r="L176" s="95"/>
      <c r="M176" s="95"/>
      <c r="N176" s="95"/>
      <c r="O176" s="95"/>
      <c r="P176" s="95"/>
      <c r="Q176" s="95"/>
      <c r="R176" s="95"/>
      <c r="S176" s="95"/>
      <c r="T176" s="95"/>
      <c r="U176" s="95"/>
      <c r="V176" s="95"/>
      <c r="W176" s="95"/>
      <c r="X176" s="95"/>
    </row>
    <row r="177">
      <c r="A177" s="90"/>
      <c r="B177" s="91"/>
      <c r="C177" s="92"/>
      <c r="D177" s="93"/>
      <c r="E177" s="94"/>
      <c r="F177" s="94"/>
      <c r="G177" s="95"/>
      <c r="H177" s="95"/>
      <c r="I177" s="95"/>
      <c r="J177" s="95"/>
      <c r="K177" s="95"/>
      <c r="L177" s="95"/>
      <c r="M177" s="95"/>
      <c r="N177" s="95"/>
      <c r="O177" s="95"/>
      <c r="P177" s="95"/>
      <c r="Q177" s="95"/>
      <c r="R177" s="95"/>
      <c r="S177" s="95"/>
      <c r="T177" s="95"/>
      <c r="U177" s="95"/>
      <c r="V177" s="95"/>
      <c r="W177" s="95"/>
      <c r="X177" s="95"/>
    </row>
    <row r="178">
      <c r="A178" s="90"/>
      <c r="B178" s="91"/>
      <c r="C178" s="92"/>
      <c r="D178" s="93"/>
      <c r="E178" s="94"/>
      <c r="F178" s="94"/>
      <c r="G178" s="95"/>
      <c r="H178" s="95"/>
      <c r="I178" s="95"/>
      <c r="J178" s="95"/>
      <c r="K178" s="95"/>
      <c r="L178" s="95"/>
      <c r="M178" s="95"/>
      <c r="N178" s="95"/>
      <c r="O178" s="95"/>
      <c r="P178" s="95"/>
      <c r="Q178" s="95"/>
      <c r="R178" s="95"/>
      <c r="S178" s="95"/>
      <c r="T178" s="95"/>
      <c r="U178" s="95"/>
      <c r="V178" s="95"/>
      <c r="W178" s="95"/>
      <c r="X178" s="95"/>
    </row>
    <row r="179">
      <c r="A179" s="90"/>
      <c r="B179" s="91"/>
      <c r="C179" s="92"/>
      <c r="D179" s="93"/>
      <c r="E179" s="94"/>
      <c r="F179" s="94"/>
      <c r="G179" s="95"/>
      <c r="H179" s="95"/>
      <c r="I179" s="95"/>
      <c r="J179" s="95"/>
      <c r="K179" s="95"/>
      <c r="L179" s="95"/>
      <c r="M179" s="95"/>
      <c r="N179" s="95"/>
      <c r="O179" s="95"/>
      <c r="P179" s="95"/>
      <c r="Q179" s="95"/>
      <c r="R179" s="95"/>
      <c r="S179" s="95"/>
      <c r="T179" s="95"/>
      <c r="U179" s="95"/>
      <c r="V179" s="95"/>
      <c r="W179" s="95"/>
      <c r="X179" s="95"/>
    </row>
    <row r="180">
      <c r="A180" s="90"/>
      <c r="B180" s="91"/>
      <c r="C180" s="92"/>
      <c r="D180" s="93"/>
      <c r="E180" s="94"/>
      <c r="F180" s="94"/>
      <c r="G180" s="92"/>
      <c r="H180" s="95"/>
      <c r="I180" s="95"/>
      <c r="J180" s="95"/>
      <c r="K180" s="95"/>
      <c r="L180" s="95"/>
      <c r="M180" s="95"/>
      <c r="N180" s="95"/>
      <c r="O180" s="95"/>
      <c r="P180" s="95"/>
      <c r="Q180" s="95"/>
      <c r="R180" s="95"/>
      <c r="S180" s="95"/>
      <c r="T180" s="95"/>
      <c r="U180" s="95"/>
      <c r="V180" s="95"/>
      <c r="W180" s="95"/>
      <c r="X180" s="95"/>
    </row>
    <row r="181">
      <c r="A181" s="90"/>
      <c r="B181" s="91"/>
      <c r="C181" s="92"/>
      <c r="D181" s="93"/>
      <c r="E181" s="94"/>
      <c r="F181" s="94"/>
      <c r="G181" s="95"/>
      <c r="H181" s="95"/>
      <c r="I181" s="95"/>
      <c r="J181" s="95"/>
      <c r="K181" s="95"/>
      <c r="L181" s="95"/>
      <c r="M181" s="95"/>
      <c r="N181" s="95"/>
      <c r="O181" s="95"/>
      <c r="P181" s="95"/>
      <c r="Q181" s="95"/>
      <c r="R181" s="95"/>
      <c r="S181" s="95"/>
      <c r="T181" s="95"/>
      <c r="U181" s="95"/>
      <c r="V181" s="95"/>
      <c r="W181" s="95"/>
      <c r="X181" s="95"/>
    </row>
    <row r="182">
      <c r="A182" s="90"/>
      <c r="B182" s="91"/>
      <c r="C182" s="92"/>
      <c r="D182" s="93"/>
      <c r="E182" s="94"/>
      <c r="F182" s="94"/>
      <c r="G182" s="95"/>
      <c r="H182" s="95"/>
      <c r="I182" s="95"/>
      <c r="J182" s="95"/>
      <c r="K182" s="95"/>
      <c r="L182" s="95"/>
      <c r="M182" s="95"/>
      <c r="N182" s="95"/>
      <c r="O182" s="95"/>
      <c r="P182" s="95"/>
      <c r="Q182" s="95"/>
      <c r="R182" s="95"/>
      <c r="S182" s="95"/>
      <c r="T182" s="95"/>
      <c r="U182" s="95"/>
      <c r="V182" s="95"/>
      <c r="W182" s="95"/>
      <c r="X182" s="95"/>
    </row>
    <row r="183">
      <c r="A183" s="90"/>
      <c r="B183" s="91"/>
      <c r="C183" s="92"/>
      <c r="D183" s="93"/>
      <c r="E183" s="94"/>
      <c r="F183" s="94"/>
      <c r="G183" s="95"/>
      <c r="H183" s="95"/>
      <c r="I183" s="95"/>
      <c r="J183" s="95"/>
      <c r="K183" s="95"/>
      <c r="L183" s="95"/>
      <c r="M183" s="95"/>
      <c r="N183" s="95"/>
      <c r="O183" s="95"/>
      <c r="P183" s="95"/>
      <c r="Q183" s="95"/>
      <c r="R183" s="95"/>
      <c r="S183" s="95"/>
      <c r="T183" s="95"/>
      <c r="U183" s="95"/>
      <c r="V183" s="95"/>
      <c r="W183" s="95"/>
      <c r="X183" s="95"/>
    </row>
    <row r="184">
      <c r="A184" s="90"/>
      <c r="B184" s="91"/>
      <c r="C184" s="92"/>
      <c r="D184" s="93"/>
      <c r="E184" s="94"/>
      <c r="F184" s="94"/>
      <c r="G184" s="95"/>
      <c r="H184" s="95"/>
      <c r="I184" s="95"/>
      <c r="J184" s="95"/>
      <c r="K184" s="95"/>
      <c r="L184" s="95"/>
      <c r="M184" s="95"/>
      <c r="N184" s="95"/>
      <c r="O184" s="95"/>
      <c r="P184" s="95"/>
      <c r="Q184" s="95"/>
      <c r="R184" s="95"/>
      <c r="S184" s="95"/>
      <c r="T184" s="95"/>
      <c r="U184" s="95"/>
      <c r="V184" s="95"/>
      <c r="W184" s="95"/>
      <c r="X184" s="95"/>
    </row>
    <row r="185">
      <c r="A185" s="90"/>
      <c r="B185" s="91"/>
      <c r="C185" s="92"/>
      <c r="D185" s="93"/>
      <c r="E185" s="94"/>
      <c r="F185" s="94"/>
      <c r="G185" s="95"/>
      <c r="H185" s="95"/>
      <c r="I185" s="95"/>
      <c r="J185" s="95"/>
      <c r="K185" s="95"/>
      <c r="L185" s="95"/>
      <c r="M185" s="95"/>
      <c r="N185" s="95"/>
      <c r="O185" s="95"/>
      <c r="P185" s="95"/>
      <c r="Q185" s="95"/>
      <c r="R185" s="95"/>
      <c r="S185" s="95"/>
      <c r="T185" s="95"/>
      <c r="U185" s="95"/>
      <c r="V185" s="95"/>
      <c r="W185" s="95"/>
      <c r="X185" s="95"/>
    </row>
    <row r="186">
      <c r="A186" s="90"/>
      <c r="B186" s="91"/>
      <c r="C186" s="92"/>
      <c r="D186" s="93"/>
      <c r="E186" s="94"/>
      <c r="F186" s="94"/>
      <c r="G186" s="95"/>
      <c r="H186" s="95"/>
      <c r="I186" s="95"/>
      <c r="J186" s="95"/>
      <c r="K186" s="95"/>
      <c r="L186" s="95"/>
      <c r="M186" s="95"/>
      <c r="N186" s="95"/>
      <c r="O186" s="95"/>
      <c r="P186" s="95"/>
      <c r="Q186" s="95"/>
      <c r="R186" s="95"/>
      <c r="S186" s="95"/>
      <c r="T186" s="95"/>
      <c r="U186" s="95"/>
      <c r="V186" s="95"/>
      <c r="W186" s="95"/>
      <c r="X186" s="95"/>
    </row>
    <row r="187">
      <c r="A187" s="90"/>
      <c r="B187" s="91"/>
      <c r="C187" s="92"/>
      <c r="D187" s="93"/>
      <c r="E187" s="94"/>
      <c r="F187" s="94"/>
      <c r="G187" s="95"/>
      <c r="H187" s="95"/>
      <c r="I187" s="95"/>
      <c r="J187" s="95"/>
      <c r="K187" s="95"/>
      <c r="L187" s="95"/>
      <c r="M187" s="95"/>
      <c r="N187" s="95"/>
      <c r="O187" s="95"/>
      <c r="P187" s="95"/>
      <c r="Q187" s="95"/>
      <c r="R187" s="95"/>
      <c r="S187" s="95"/>
      <c r="T187" s="95"/>
      <c r="U187" s="95"/>
      <c r="V187" s="95"/>
      <c r="W187" s="95"/>
      <c r="X187" s="95"/>
    </row>
    <row r="188">
      <c r="A188" s="90"/>
      <c r="B188" s="91"/>
      <c r="C188" s="92"/>
      <c r="D188" s="93"/>
      <c r="E188" s="94"/>
      <c r="F188" s="94"/>
      <c r="G188" s="95"/>
      <c r="H188" s="95"/>
      <c r="I188" s="95"/>
      <c r="J188" s="95"/>
      <c r="K188" s="95"/>
      <c r="L188" s="95"/>
      <c r="M188" s="95"/>
      <c r="N188" s="95"/>
      <c r="O188" s="95"/>
      <c r="P188" s="95"/>
      <c r="Q188" s="95"/>
      <c r="R188" s="95"/>
      <c r="S188" s="95"/>
      <c r="T188" s="95"/>
      <c r="U188" s="95"/>
      <c r="V188" s="95"/>
      <c r="W188" s="95"/>
      <c r="X188" s="95"/>
    </row>
    <row r="189">
      <c r="A189" s="90"/>
      <c r="B189" s="91"/>
      <c r="C189" s="92"/>
      <c r="D189" s="93"/>
      <c r="E189" s="94"/>
      <c r="F189" s="94"/>
      <c r="G189" s="95"/>
      <c r="H189" s="95"/>
      <c r="I189" s="95"/>
      <c r="J189" s="95"/>
      <c r="K189" s="95"/>
      <c r="L189" s="95"/>
      <c r="M189" s="95"/>
      <c r="N189" s="95"/>
      <c r="O189" s="95"/>
      <c r="P189" s="95"/>
      <c r="Q189" s="95"/>
      <c r="R189" s="95"/>
      <c r="S189" s="95"/>
      <c r="T189" s="95"/>
      <c r="U189" s="95"/>
      <c r="V189" s="95"/>
      <c r="W189" s="95"/>
      <c r="X189" s="95"/>
    </row>
    <row r="190">
      <c r="A190" s="90"/>
      <c r="B190" s="91"/>
      <c r="C190" s="92"/>
      <c r="D190" s="93"/>
      <c r="E190" s="94"/>
      <c r="F190" s="94"/>
      <c r="G190" s="95"/>
      <c r="H190" s="95"/>
      <c r="I190" s="95"/>
      <c r="J190" s="95"/>
      <c r="K190" s="95"/>
      <c r="L190" s="95"/>
      <c r="M190" s="95"/>
      <c r="N190" s="95"/>
      <c r="O190" s="95"/>
      <c r="P190" s="95"/>
      <c r="Q190" s="95"/>
      <c r="R190" s="95"/>
      <c r="S190" s="95"/>
      <c r="T190" s="95"/>
      <c r="U190" s="95"/>
      <c r="V190" s="95"/>
      <c r="W190" s="95"/>
      <c r="X190" s="95"/>
    </row>
    <row r="191">
      <c r="A191" s="90"/>
      <c r="B191" s="91"/>
      <c r="C191" s="92"/>
      <c r="D191" s="93"/>
      <c r="E191" s="94"/>
      <c r="F191" s="94"/>
      <c r="G191" s="95"/>
      <c r="H191" s="95"/>
      <c r="I191" s="95"/>
      <c r="J191" s="95"/>
      <c r="K191" s="95"/>
      <c r="L191" s="95"/>
      <c r="M191" s="95"/>
      <c r="N191" s="95"/>
      <c r="O191" s="95"/>
      <c r="P191" s="95"/>
      <c r="Q191" s="95"/>
      <c r="R191" s="95"/>
      <c r="S191" s="95"/>
      <c r="T191" s="95"/>
      <c r="U191" s="95"/>
      <c r="V191" s="95"/>
      <c r="W191" s="95"/>
      <c r="X191" s="95"/>
    </row>
    <row r="192">
      <c r="A192" s="90"/>
      <c r="B192" s="91"/>
      <c r="C192" s="92"/>
      <c r="D192" s="93"/>
      <c r="E192" s="94"/>
      <c r="F192" s="94"/>
      <c r="G192" s="95"/>
      <c r="H192" s="95"/>
      <c r="I192" s="95"/>
      <c r="J192" s="95"/>
      <c r="K192" s="95"/>
      <c r="L192" s="95"/>
      <c r="M192" s="95"/>
      <c r="N192" s="95"/>
      <c r="O192" s="95"/>
      <c r="P192" s="95"/>
      <c r="Q192" s="95"/>
      <c r="R192" s="95"/>
      <c r="S192" s="95"/>
      <c r="T192" s="95"/>
      <c r="U192" s="95"/>
      <c r="V192" s="95"/>
      <c r="W192" s="95"/>
      <c r="X192" s="95"/>
    </row>
    <row r="193">
      <c r="A193" s="90"/>
      <c r="B193" s="91"/>
      <c r="C193" s="92"/>
      <c r="D193" s="93"/>
      <c r="E193" s="94"/>
      <c r="F193" s="94"/>
      <c r="G193" s="95"/>
      <c r="H193" s="95"/>
      <c r="I193" s="95"/>
      <c r="J193" s="95"/>
      <c r="K193" s="95"/>
      <c r="L193" s="95"/>
      <c r="M193" s="95"/>
      <c r="N193" s="95"/>
      <c r="O193" s="95"/>
      <c r="P193" s="95"/>
      <c r="Q193" s="95"/>
      <c r="R193" s="95"/>
      <c r="S193" s="95"/>
      <c r="T193" s="95"/>
      <c r="U193" s="95"/>
      <c r="V193" s="95"/>
      <c r="W193" s="95"/>
      <c r="X193" s="95"/>
    </row>
    <row r="194">
      <c r="A194" s="90"/>
      <c r="B194" s="91"/>
      <c r="C194" s="92"/>
      <c r="D194" s="93"/>
      <c r="E194" s="94"/>
      <c r="F194" s="94"/>
      <c r="G194" s="95"/>
      <c r="H194" s="95"/>
      <c r="I194" s="95"/>
      <c r="J194" s="95"/>
      <c r="K194" s="95"/>
      <c r="L194" s="95"/>
      <c r="M194" s="95"/>
      <c r="N194" s="95"/>
      <c r="O194" s="95"/>
      <c r="P194" s="95"/>
      <c r="Q194" s="95"/>
      <c r="R194" s="95"/>
      <c r="S194" s="95"/>
      <c r="T194" s="95"/>
      <c r="U194" s="95"/>
      <c r="V194" s="95"/>
      <c r="W194" s="95"/>
      <c r="X194" s="95"/>
    </row>
    <row r="195">
      <c r="A195" s="90"/>
      <c r="B195" s="91"/>
      <c r="C195" s="92"/>
      <c r="D195" s="93"/>
      <c r="E195" s="94"/>
      <c r="F195" s="94"/>
      <c r="G195" s="95"/>
      <c r="H195" s="95"/>
      <c r="I195" s="95"/>
      <c r="J195" s="95"/>
      <c r="K195" s="95"/>
      <c r="L195" s="95"/>
      <c r="M195" s="95"/>
      <c r="N195" s="95"/>
      <c r="O195" s="95"/>
      <c r="P195" s="95"/>
      <c r="Q195" s="95"/>
      <c r="R195" s="95"/>
      <c r="S195" s="95"/>
      <c r="T195" s="95"/>
      <c r="U195" s="95"/>
      <c r="V195" s="95"/>
      <c r="W195" s="95"/>
      <c r="X195" s="95"/>
    </row>
    <row r="196">
      <c r="A196" s="90"/>
      <c r="B196" s="91"/>
      <c r="C196" s="92"/>
      <c r="D196" s="93"/>
      <c r="E196" s="94"/>
      <c r="F196" s="94"/>
      <c r="G196" s="95"/>
      <c r="H196" s="95"/>
      <c r="I196" s="95"/>
      <c r="J196" s="95"/>
      <c r="K196" s="95"/>
      <c r="L196" s="95"/>
      <c r="M196" s="95"/>
      <c r="N196" s="95"/>
      <c r="O196" s="95"/>
      <c r="P196" s="95"/>
      <c r="Q196" s="95"/>
      <c r="R196" s="95"/>
      <c r="S196" s="95"/>
      <c r="T196" s="95"/>
      <c r="U196" s="95"/>
      <c r="V196" s="95"/>
      <c r="W196" s="95"/>
      <c r="X196" s="95"/>
    </row>
    <row r="197">
      <c r="A197" s="90"/>
      <c r="B197" s="91"/>
      <c r="C197" s="92"/>
      <c r="D197" s="93"/>
      <c r="E197" s="94"/>
      <c r="F197" s="94"/>
      <c r="G197" s="95"/>
      <c r="H197" s="95"/>
      <c r="I197" s="95"/>
      <c r="J197" s="95"/>
      <c r="K197" s="95"/>
      <c r="L197" s="95"/>
      <c r="M197" s="95"/>
      <c r="N197" s="95"/>
      <c r="O197" s="95"/>
      <c r="P197" s="95"/>
      <c r="Q197" s="95"/>
      <c r="R197" s="95"/>
      <c r="S197" s="95"/>
      <c r="T197" s="95"/>
      <c r="U197" s="95"/>
      <c r="V197" s="95"/>
      <c r="W197" s="95"/>
      <c r="X197" s="95"/>
    </row>
    <row r="198">
      <c r="A198" s="90"/>
      <c r="B198" s="91"/>
      <c r="C198" s="92"/>
      <c r="D198" s="93"/>
      <c r="E198" s="94"/>
      <c r="F198" s="94"/>
      <c r="G198" s="95"/>
      <c r="H198" s="95"/>
      <c r="I198" s="95"/>
      <c r="J198" s="95"/>
      <c r="K198" s="95"/>
      <c r="L198" s="95"/>
      <c r="M198" s="95"/>
      <c r="N198" s="95"/>
      <c r="O198" s="95"/>
      <c r="P198" s="95"/>
      <c r="Q198" s="95"/>
      <c r="R198" s="95"/>
      <c r="S198" s="95"/>
      <c r="T198" s="95"/>
      <c r="U198" s="95"/>
      <c r="V198" s="95"/>
      <c r="W198" s="95"/>
      <c r="X198" s="95"/>
    </row>
    <row r="199">
      <c r="A199" s="90"/>
      <c r="B199" s="91"/>
      <c r="C199" s="92"/>
      <c r="D199" s="93"/>
      <c r="E199" s="94"/>
      <c r="F199" s="94"/>
      <c r="G199" s="95"/>
      <c r="H199" s="95"/>
      <c r="I199" s="95"/>
      <c r="J199" s="95"/>
      <c r="K199" s="95"/>
      <c r="L199" s="95"/>
      <c r="M199" s="95"/>
      <c r="N199" s="95"/>
      <c r="O199" s="95"/>
      <c r="P199" s="95"/>
      <c r="Q199" s="95"/>
      <c r="R199" s="95"/>
      <c r="S199" s="95"/>
      <c r="T199" s="95"/>
      <c r="U199" s="95"/>
      <c r="V199" s="95"/>
      <c r="W199" s="95"/>
      <c r="X199" s="95"/>
    </row>
    <row r="200" ht="12.0" customHeight="1">
      <c r="A200" s="20"/>
      <c r="B200" s="20"/>
      <c r="C200" s="20"/>
      <c r="D200" s="35"/>
      <c r="E200" s="20"/>
      <c r="F200" s="20"/>
      <c r="G200" s="20"/>
      <c r="H200" s="20"/>
      <c r="I200" s="20"/>
      <c r="J200" s="20"/>
      <c r="K200" s="20"/>
      <c r="L200" s="20"/>
      <c r="M200" s="20"/>
      <c r="N200" s="20"/>
      <c r="O200" s="20"/>
      <c r="P200" s="20"/>
      <c r="Q200" s="20"/>
      <c r="R200" s="20"/>
      <c r="S200" s="20"/>
      <c r="T200" s="20"/>
      <c r="U200" s="20"/>
      <c r="V200" s="20"/>
      <c r="W200" s="20"/>
      <c r="X200" s="20"/>
    </row>
    <row r="201" ht="12.0" customHeight="1">
      <c r="A201" s="20"/>
      <c r="B201" s="20"/>
      <c r="C201" s="20"/>
      <c r="D201" s="35"/>
      <c r="E201" s="20"/>
      <c r="F201" s="20"/>
      <c r="G201" s="20"/>
      <c r="H201" s="20"/>
      <c r="I201" s="20"/>
      <c r="J201" s="20"/>
      <c r="K201" s="20"/>
      <c r="L201" s="20"/>
      <c r="M201" s="20"/>
      <c r="N201" s="20"/>
      <c r="O201" s="20"/>
      <c r="P201" s="20"/>
      <c r="Q201" s="20"/>
      <c r="R201" s="20"/>
      <c r="S201" s="20"/>
      <c r="T201" s="20"/>
      <c r="U201" s="20"/>
      <c r="V201" s="20"/>
      <c r="W201" s="20"/>
      <c r="X201" s="20"/>
    </row>
    <row r="202" ht="12.0" customHeight="1">
      <c r="A202" s="20"/>
      <c r="B202" s="20"/>
      <c r="C202" s="20"/>
      <c r="D202" s="35"/>
      <c r="E202" s="20"/>
      <c r="F202" s="20"/>
      <c r="G202" s="20"/>
      <c r="H202" s="20"/>
      <c r="I202" s="20"/>
      <c r="J202" s="20"/>
      <c r="K202" s="20"/>
      <c r="L202" s="20"/>
      <c r="M202" s="20"/>
      <c r="N202" s="20"/>
      <c r="O202" s="20"/>
      <c r="P202" s="20"/>
      <c r="Q202" s="20"/>
      <c r="R202" s="20"/>
      <c r="S202" s="20"/>
      <c r="T202" s="20"/>
      <c r="U202" s="20"/>
      <c r="V202" s="20"/>
      <c r="W202" s="20"/>
      <c r="X202" s="20"/>
    </row>
    <row r="203" ht="12.0" customHeight="1">
      <c r="A203" s="20"/>
      <c r="B203" s="20"/>
      <c r="C203" s="20"/>
      <c r="D203" s="35"/>
      <c r="E203" s="20"/>
      <c r="F203" s="20"/>
      <c r="G203" s="20"/>
      <c r="H203" s="20"/>
      <c r="I203" s="20"/>
      <c r="J203" s="20"/>
      <c r="K203" s="20"/>
      <c r="L203" s="20"/>
      <c r="M203" s="20"/>
      <c r="N203" s="20"/>
      <c r="O203" s="20"/>
      <c r="P203" s="20"/>
      <c r="Q203" s="20"/>
      <c r="R203" s="20"/>
      <c r="S203" s="20"/>
      <c r="T203" s="20"/>
      <c r="U203" s="20"/>
      <c r="V203" s="20"/>
      <c r="W203" s="20"/>
      <c r="X203" s="20"/>
    </row>
    <row r="204" ht="12.0" customHeight="1">
      <c r="A204" s="20"/>
      <c r="B204" s="20"/>
      <c r="C204" s="20"/>
      <c r="D204" s="35"/>
      <c r="E204" s="20"/>
      <c r="F204" s="20"/>
      <c r="G204" s="20"/>
      <c r="H204" s="20"/>
      <c r="I204" s="20"/>
      <c r="J204" s="20"/>
      <c r="K204" s="20"/>
      <c r="L204" s="20"/>
      <c r="M204" s="20"/>
      <c r="N204" s="20"/>
      <c r="O204" s="20"/>
      <c r="P204" s="20"/>
      <c r="Q204" s="20"/>
      <c r="R204" s="20"/>
      <c r="S204" s="20"/>
      <c r="T204" s="20"/>
      <c r="U204" s="20"/>
      <c r="V204" s="20"/>
      <c r="W204" s="20"/>
      <c r="X204" s="20"/>
    </row>
    <row r="205" ht="12.0" customHeight="1">
      <c r="A205" s="20"/>
      <c r="B205" s="20"/>
      <c r="C205" s="20"/>
      <c r="D205" s="35"/>
      <c r="E205" s="20"/>
      <c r="F205" s="20"/>
      <c r="G205" s="20"/>
      <c r="H205" s="20"/>
      <c r="I205" s="20"/>
      <c r="J205" s="20"/>
      <c r="K205" s="20"/>
      <c r="L205" s="20"/>
      <c r="M205" s="20"/>
      <c r="N205" s="20"/>
      <c r="O205" s="20"/>
      <c r="P205" s="20"/>
      <c r="Q205" s="20"/>
      <c r="R205" s="20"/>
      <c r="S205" s="20"/>
      <c r="T205" s="20"/>
      <c r="U205" s="20"/>
      <c r="V205" s="20"/>
      <c r="W205" s="20"/>
      <c r="X205" s="20"/>
    </row>
    <row r="206" ht="12.0" customHeight="1">
      <c r="A206" s="20"/>
      <c r="B206" s="20"/>
      <c r="C206" s="20"/>
      <c r="D206" s="35"/>
      <c r="E206" s="20"/>
      <c r="F206" s="20"/>
      <c r="G206" s="20"/>
      <c r="H206" s="20"/>
      <c r="I206" s="20"/>
      <c r="J206" s="20"/>
      <c r="K206" s="20"/>
      <c r="L206" s="20"/>
      <c r="M206" s="20"/>
      <c r="N206" s="20"/>
      <c r="O206" s="20"/>
      <c r="P206" s="20"/>
      <c r="Q206" s="20"/>
      <c r="R206" s="20"/>
      <c r="S206" s="20"/>
      <c r="T206" s="20"/>
      <c r="U206" s="20"/>
      <c r="V206" s="20"/>
      <c r="W206" s="20"/>
      <c r="X206" s="20"/>
    </row>
    <row r="207" ht="12.0" customHeight="1">
      <c r="A207" s="20"/>
      <c r="B207" s="20"/>
      <c r="C207" s="20"/>
      <c r="D207" s="35"/>
      <c r="E207" s="20"/>
      <c r="F207" s="20"/>
      <c r="G207" s="20"/>
      <c r="H207" s="20"/>
      <c r="I207" s="20"/>
      <c r="J207" s="20"/>
      <c r="K207" s="20"/>
      <c r="L207" s="20"/>
      <c r="M207" s="20"/>
      <c r="N207" s="20"/>
      <c r="O207" s="20"/>
      <c r="P207" s="20"/>
      <c r="Q207" s="20"/>
      <c r="R207" s="20"/>
      <c r="S207" s="20"/>
      <c r="T207" s="20"/>
      <c r="U207" s="20"/>
      <c r="V207" s="20"/>
      <c r="W207" s="20"/>
      <c r="X207" s="20"/>
    </row>
    <row r="208" ht="12.0" customHeight="1">
      <c r="A208" s="20"/>
      <c r="B208" s="20"/>
      <c r="C208" s="20"/>
      <c r="D208" s="35"/>
      <c r="E208" s="20"/>
      <c r="F208" s="20"/>
      <c r="G208" s="20"/>
      <c r="H208" s="20"/>
      <c r="I208" s="20"/>
      <c r="J208" s="20"/>
      <c r="K208" s="20"/>
      <c r="L208" s="20"/>
      <c r="M208" s="20"/>
      <c r="N208" s="20"/>
      <c r="O208" s="20"/>
      <c r="P208" s="20"/>
      <c r="Q208" s="20"/>
      <c r="R208" s="20"/>
      <c r="S208" s="20"/>
      <c r="T208" s="20"/>
      <c r="U208" s="20"/>
      <c r="V208" s="20"/>
      <c r="W208" s="20"/>
      <c r="X208" s="20"/>
    </row>
    <row r="209" ht="12.0" customHeight="1">
      <c r="A209" s="20"/>
      <c r="B209" s="20"/>
      <c r="C209" s="20"/>
      <c r="D209" s="35"/>
      <c r="E209" s="20"/>
      <c r="F209" s="20"/>
      <c r="G209" s="20"/>
      <c r="H209" s="20"/>
      <c r="I209" s="20"/>
      <c r="J209" s="20"/>
      <c r="K209" s="20"/>
      <c r="L209" s="20"/>
      <c r="M209" s="20"/>
      <c r="N209" s="20"/>
      <c r="O209" s="20"/>
      <c r="P209" s="20"/>
      <c r="Q209" s="20"/>
      <c r="R209" s="20"/>
      <c r="S209" s="20"/>
      <c r="T209" s="20"/>
      <c r="U209" s="20"/>
      <c r="V209" s="20"/>
      <c r="W209" s="20"/>
      <c r="X209" s="20"/>
    </row>
    <row r="210" ht="12.0" customHeight="1">
      <c r="A210" s="20"/>
      <c r="B210" s="20"/>
      <c r="C210" s="20"/>
      <c r="D210" s="35"/>
      <c r="E210" s="20"/>
      <c r="F210" s="20"/>
      <c r="G210" s="20"/>
      <c r="H210" s="20"/>
      <c r="I210" s="20"/>
      <c r="J210" s="20"/>
      <c r="K210" s="20"/>
      <c r="L210" s="20"/>
      <c r="M210" s="20"/>
      <c r="N210" s="20"/>
      <c r="O210" s="20"/>
      <c r="P210" s="20"/>
      <c r="Q210" s="20"/>
      <c r="R210" s="20"/>
      <c r="S210" s="20"/>
      <c r="T210" s="20"/>
      <c r="U210" s="20"/>
      <c r="V210" s="20"/>
      <c r="W210" s="20"/>
      <c r="X210" s="20"/>
    </row>
    <row r="211" ht="12.0" customHeight="1">
      <c r="A211" s="20"/>
      <c r="B211" s="20"/>
      <c r="C211" s="20"/>
      <c r="D211" s="35"/>
      <c r="E211" s="20"/>
      <c r="F211" s="20"/>
      <c r="G211" s="20"/>
      <c r="H211" s="20"/>
      <c r="I211" s="20"/>
      <c r="J211" s="20"/>
      <c r="K211" s="20"/>
      <c r="L211" s="20"/>
      <c r="M211" s="20"/>
      <c r="N211" s="20"/>
      <c r="O211" s="20"/>
      <c r="P211" s="20"/>
      <c r="Q211" s="20"/>
      <c r="R211" s="20"/>
      <c r="S211" s="20"/>
      <c r="T211" s="20"/>
      <c r="U211" s="20"/>
      <c r="V211" s="20"/>
      <c r="W211" s="20"/>
      <c r="X211" s="20"/>
    </row>
    <row r="212" ht="12.0" customHeight="1">
      <c r="A212" s="20"/>
      <c r="B212" s="20"/>
      <c r="C212" s="20"/>
      <c r="D212" s="35"/>
      <c r="E212" s="20"/>
      <c r="F212" s="20"/>
      <c r="G212" s="20"/>
      <c r="H212" s="20"/>
      <c r="I212" s="20"/>
      <c r="J212" s="20"/>
      <c r="K212" s="20"/>
      <c r="L212" s="20"/>
      <c r="M212" s="20"/>
      <c r="N212" s="20"/>
      <c r="O212" s="20"/>
      <c r="P212" s="20"/>
      <c r="Q212" s="20"/>
      <c r="R212" s="20"/>
      <c r="S212" s="20"/>
      <c r="T212" s="20"/>
      <c r="U212" s="20"/>
      <c r="V212" s="20"/>
      <c r="W212" s="20"/>
      <c r="X212" s="20"/>
    </row>
    <row r="213" ht="12.0" customHeight="1">
      <c r="A213" s="20"/>
      <c r="B213" s="20"/>
      <c r="C213" s="20"/>
      <c r="D213" s="35"/>
      <c r="E213" s="20"/>
      <c r="F213" s="20"/>
      <c r="G213" s="20"/>
      <c r="H213" s="20"/>
      <c r="I213" s="20"/>
      <c r="J213" s="20"/>
      <c r="K213" s="20"/>
      <c r="L213" s="20"/>
      <c r="M213" s="20"/>
      <c r="N213" s="20"/>
      <c r="O213" s="20"/>
      <c r="P213" s="20"/>
      <c r="Q213" s="20"/>
      <c r="R213" s="20"/>
      <c r="S213" s="20"/>
      <c r="T213" s="20"/>
      <c r="U213" s="20"/>
      <c r="V213" s="20"/>
      <c r="W213" s="20"/>
      <c r="X213" s="20"/>
    </row>
    <row r="214" ht="12.0" customHeight="1">
      <c r="A214" s="20"/>
      <c r="B214" s="20"/>
      <c r="C214" s="20"/>
      <c r="D214" s="35"/>
      <c r="E214" s="20"/>
      <c r="F214" s="20"/>
      <c r="G214" s="20"/>
      <c r="H214" s="20"/>
      <c r="I214" s="20"/>
      <c r="J214" s="20"/>
      <c r="K214" s="20"/>
      <c r="L214" s="20"/>
      <c r="M214" s="20"/>
      <c r="N214" s="20"/>
      <c r="O214" s="20"/>
      <c r="P214" s="20"/>
      <c r="Q214" s="20"/>
      <c r="R214" s="20"/>
      <c r="S214" s="20"/>
      <c r="T214" s="20"/>
      <c r="U214" s="20"/>
      <c r="V214" s="20"/>
      <c r="W214" s="20"/>
      <c r="X214" s="20"/>
    </row>
    <row r="215" ht="12.0" customHeight="1">
      <c r="A215" s="20"/>
      <c r="B215" s="20"/>
      <c r="C215" s="20"/>
      <c r="D215" s="35"/>
      <c r="E215" s="20"/>
      <c r="F215" s="20"/>
      <c r="G215" s="20"/>
      <c r="H215" s="20"/>
      <c r="I215" s="20"/>
      <c r="J215" s="20"/>
      <c r="K215" s="20"/>
      <c r="L215" s="20"/>
      <c r="M215" s="20"/>
      <c r="N215" s="20"/>
      <c r="O215" s="20"/>
      <c r="P215" s="20"/>
      <c r="Q215" s="20"/>
      <c r="R215" s="20"/>
      <c r="S215" s="20"/>
      <c r="T215" s="20"/>
      <c r="U215" s="20"/>
      <c r="V215" s="20"/>
      <c r="W215" s="20"/>
      <c r="X215" s="20"/>
    </row>
    <row r="216" ht="12.0" customHeight="1">
      <c r="A216" s="20"/>
      <c r="B216" s="20"/>
      <c r="C216" s="20"/>
      <c r="D216" s="35"/>
      <c r="E216" s="20"/>
      <c r="F216" s="20"/>
      <c r="G216" s="20"/>
      <c r="H216" s="20"/>
      <c r="I216" s="20"/>
      <c r="J216" s="20"/>
      <c r="K216" s="20"/>
      <c r="L216" s="20"/>
      <c r="M216" s="20"/>
      <c r="N216" s="20"/>
      <c r="O216" s="20"/>
      <c r="P216" s="20"/>
      <c r="Q216" s="20"/>
      <c r="R216" s="20"/>
      <c r="S216" s="20"/>
      <c r="T216" s="20"/>
      <c r="U216" s="20"/>
      <c r="V216" s="20"/>
      <c r="W216" s="20"/>
      <c r="X216" s="20"/>
    </row>
    <row r="217" ht="12.0" customHeight="1">
      <c r="A217" s="20"/>
      <c r="B217" s="20"/>
      <c r="C217" s="20"/>
      <c r="D217" s="35"/>
      <c r="E217" s="20"/>
      <c r="F217" s="20"/>
      <c r="G217" s="20"/>
      <c r="H217" s="20"/>
      <c r="I217" s="20"/>
      <c r="J217" s="20"/>
      <c r="K217" s="20"/>
      <c r="L217" s="20"/>
      <c r="M217" s="20"/>
      <c r="N217" s="20"/>
      <c r="O217" s="20"/>
      <c r="P217" s="20"/>
      <c r="Q217" s="20"/>
      <c r="R217" s="20"/>
      <c r="S217" s="20"/>
      <c r="T217" s="20"/>
      <c r="U217" s="20"/>
      <c r="V217" s="20"/>
      <c r="W217" s="20"/>
      <c r="X217" s="20"/>
    </row>
    <row r="218" ht="12.0" customHeight="1">
      <c r="A218" s="20"/>
      <c r="B218" s="20"/>
      <c r="C218" s="20"/>
      <c r="D218" s="35"/>
      <c r="E218" s="20"/>
      <c r="F218" s="20"/>
      <c r="G218" s="20"/>
      <c r="H218" s="20"/>
      <c r="I218" s="20"/>
      <c r="J218" s="20"/>
      <c r="K218" s="20"/>
      <c r="L218" s="20"/>
      <c r="M218" s="20"/>
      <c r="N218" s="20"/>
      <c r="O218" s="20"/>
      <c r="P218" s="20"/>
      <c r="Q218" s="20"/>
      <c r="R218" s="20"/>
      <c r="S218" s="20"/>
      <c r="T218" s="20"/>
      <c r="U218" s="20"/>
      <c r="V218" s="20"/>
      <c r="W218" s="20"/>
      <c r="X218" s="20"/>
    </row>
    <row r="219" ht="12.0" customHeight="1">
      <c r="A219" s="20"/>
      <c r="B219" s="20"/>
      <c r="C219" s="20"/>
      <c r="D219" s="35"/>
      <c r="E219" s="20"/>
      <c r="F219" s="20"/>
      <c r="G219" s="20"/>
      <c r="H219" s="20"/>
      <c r="I219" s="20"/>
      <c r="J219" s="20"/>
      <c r="K219" s="20"/>
      <c r="L219" s="20"/>
      <c r="M219" s="20"/>
      <c r="N219" s="20"/>
      <c r="O219" s="20"/>
      <c r="P219" s="20"/>
      <c r="Q219" s="20"/>
      <c r="R219" s="20"/>
      <c r="S219" s="20"/>
      <c r="T219" s="20"/>
      <c r="U219" s="20"/>
      <c r="V219" s="20"/>
      <c r="W219" s="20"/>
      <c r="X219" s="20"/>
    </row>
    <row r="220" ht="12.0" customHeight="1">
      <c r="A220" s="20"/>
      <c r="B220" s="20"/>
      <c r="C220" s="20"/>
      <c r="D220" s="35"/>
      <c r="E220" s="20"/>
      <c r="F220" s="20"/>
      <c r="G220" s="20"/>
      <c r="H220" s="20"/>
      <c r="I220" s="20"/>
      <c r="J220" s="20"/>
      <c r="K220" s="20"/>
      <c r="L220" s="20"/>
      <c r="M220" s="20"/>
      <c r="N220" s="20"/>
      <c r="O220" s="20"/>
      <c r="P220" s="20"/>
      <c r="Q220" s="20"/>
      <c r="R220" s="20"/>
      <c r="S220" s="20"/>
      <c r="T220" s="20"/>
      <c r="U220" s="20"/>
      <c r="V220" s="20"/>
      <c r="W220" s="20"/>
      <c r="X220" s="20"/>
    </row>
    <row r="221" ht="12.0" customHeight="1">
      <c r="A221" s="20"/>
      <c r="B221" s="20"/>
      <c r="C221" s="20"/>
      <c r="D221" s="35"/>
      <c r="E221" s="20"/>
      <c r="F221" s="20"/>
      <c r="G221" s="20"/>
      <c r="H221" s="20"/>
      <c r="I221" s="20"/>
      <c r="J221" s="20"/>
      <c r="K221" s="20"/>
      <c r="L221" s="20"/>
      <c r="M221" s="20"/>
      <c r="N221" s="20"/>
      <c r="O221" s="20"/>
      <c r="P221" s="20"/>
      <c r="Q221" s="20"/>
      <c r="R221" s="20"/>
      <c r="S221" s="20"/>
      <c r="T221" s="20"/>
      <c r="U221" s="20"/>
      <c r="V221" s="20"/>
      <c r="W221" s="20"/>
      <c r="X221" s="20"/>
    </row>
    <row r="222" ht="12.0" customHeight="1">
      <c r="A222" s="20"/>
      <c r="B222" s="20"/>
      <c r="C222" s="20"/>
      <c r="D222" s="35"/>
      <c r="E222" s="20"/>
      <c r="F222" s="20"/>
      <c r="G222" s="20"/>
      <c r="H222" s="20"/>
      <c r="I222" s="20"/>
      <c r="J222" s="20"/>
      <c r="K222" s="20"/>
      <c r="L222" s="20"/>
      <c r="M222" s="20"/>
      <c r="N222" s="20"/>
      <c r="O222" s="20"/>
      <c r="P222" s="20"/>
      <c r="Q222" s="20"/>
      <c r="R222" s="20"/>
      <c r="S222" s="20"/>
      <c r="T222" s="20"/>
      <c r="U222" s="20"/>
      <c r="V222" s="20"/>
      <c r="W222" s="20"/>
      <c r="X222" s="20"/>
    </row>
    <row r="223" ht="12.0" customHeight="1">
      <c r="A223" s="20"/>
      <c r="B223" s="20"/>
      <c r="C223" s="20"/>
      <c r="D223" s="35"/>
      <c r="E223" s="20"/>
      <c r="F223" s="20"/>
      <c r="G223" s="20"/>
      <c r="H223" s="20"/>
      <c r="I223" s="20"/>
      <c r="J223" s="20"/>
      <c r="K223" s="20"/>
      <c r="L223" s="20"/>
      <c r="M223" s="20"/>
      <c r="N223" s="20"/>
      <c r="O223" s="20"/>
      <c r="P223" s="20"/>
      <c r="Q223" s="20"/>
      <c r="R223" s="20"/>
      <c r="S223" s="20"/>
      <c r="T223" s="20"/>
      <c r="U223" s="20"/>
      <c r="V223" s="20"/>
      <c r="W223" s="20"/>
      <c r="X223" s="20"/>
    </row>
    <row r="224" ht="12.0" customHeight="1">
      <c r="A224" s="20"/>
      <c r="B224" s="20"/>
      <c r="C224" s="20"/>
      <c r="D224" s="35"/>
      <c r="E224" s="20"/>
      <c r="F224" s="20"/>
      <c r="G224" s="20"/>
      <c r="H224" s="20"/>
      <c r="I224" s="20"/>
      <c r="J224" s="20"/>
      <c r="K224" s="20"/>
      <c r="L224" s="20"/>
      <c r="M224" s="20"/>
      <c r="N224" s="20"/>
      <c r="O224" s="20"/>
      <c r="P224" s="20"/>
      <c r="Q224" s="20"/>
      <c r="R224" s="20"/>
      <c r="S224" s="20"/>
      <c r="T224" s="20"/>
      <c r="U224" s="20"/>
      <c r="V224" s="20"/>
      <c r="W224" s="20"/>
      <c r="X224" s="20"/>
    </row>
    <row r="225" ht="12.0" customHeight="1">
      <c r="A225" s="20"/>
      <c r="B225" s="20"/>
      <c r="C225" s="20"/>
      <c r="D225" s="35"/>
      <c r="E225" s="20"/>
      <c r="F225" s="20"/>
      <c r="G225" s="20"/>
      <c r="H225" s="20"/>
      <c r="I225" s="20"/>
      <c r="J225" s="20"/>
      <c r="K225" s="20"/>
      <c r="L225" s="20"/>
      <c r="M225" s="20"/>
      <c r="N225" s="20"/>
      <c r="O225" s="20"/>
      <c r="P225" s="20"/>
      <c r="Q225" s="20"/>
      <c r="R225" s="20"/>
      <c r="S225" s="20"/>
      <c r="T225" s="20"/>
      <c r="U225" s="20"/>
      <c r="V225" s="20"/>
      <c r="W225" s="20"/>
      <c r="X225" s="20"/>
    </row>
    <row r="226" ht="12.0" customHeight="1">
      <c r="A226" s="20"/>
      <c r="B226" s="20"/>
      <c r="C226" s="20"/>
      <c r="D226" s="35"/>
      <c r="E226" s="20"/>
      <c r="F226" s="20"/>
      <c r="G226" s="20"/>
      <c r="H226" s="20"/>
      <c r="I226" s="20"/>
      <c r="J226" s="20"/>
      <c r="K226" s="20"/>
      <c r="L226" s="20"/>
      <c r="M226" s="20"/>
      <c r="N226" s="20"/>
      <c r="O226" s="20"/>
      <c r="P226" s="20"/>
      <c r="Q226" s="20"/>
      <c r="R226" s="20"/>
      <c r="S226" s="20"/>
      <c r="T226" s="20"/>
      <c r="U226" s="20"/>
      <c r="V226" s="20"/>
      <c r="W226" s="20"/>
      <c r="X226" s="20"/>
    </row>
    <row r="227" ht="12.0" customHeight="1">
      <c r="A227" s="20"/>
      <c r="B227" s="20"/>
      <c r="C227" s="20"/>
      <c r="D227" s="35"/>
      <c r="E227" s="20"/>
      <c r="F227" s="20"/>
      <c r="G227" s="20"/>
      <c r="H227" s="20"/>
      <c r="I227" s="20"/>
      <c r="J227" s="20"/>
      <c r="K227" s="20"/>
      <c r="L227" s="20"/>
      <c r="M227" s="20"/>
      <c r="N227" s="20"/>
      <c r="O227" s="20"/>
      <c r="P227" s="20"/>
      <c r="Q227" s="20"/>
      <c r="R227" s="20"/>
      <c r="S227" s="20"/>
      <c r="T227" s="20"/>
      <c r="U227" s="20"/>
      <c r="V227" s="20"/>
      <c r="W227" s="20"/>
      <c r="X227" s="20"/>
    </row>
    <row r="228" ht="12.0" customHeight="1">
      <c r="A228" s="20"/>
      <c r="B228" s="20"/>
      <c r="C228" s="20"/>
      <c r="D228" s="35"/>
      <c r="E228" s="20"/>
      <c r="F228" s="20"/>
      <c r="G228" s="20"/>
      <c r="H228" s="20"/>
      <c r="I228" s="20"/>
      <c r="J228" s="20"/>
      <c r="K228" s="20"/>
      <c r="L228" s="20"/>
      <c r="M228" s="20"/>
      <c r="N228" s="20"/>
      <c r="O228" s="20"/>
      <c r="P228" s="20"/>
      <c r="Q228" s="20"/>
      <c r="R228" s="20"/>
      <c r="S228" s="20"/>
      <c r="T228" s="20"/>
      <c r="U228" s="20"/>
      <c r="V228" s="20"/>
      <c r="W228" s="20"/>
      <c r="X228" s="20"/>
    </row>
    <row r="229" ht="12.0" customHeight="1">
      <c r="A229" s="20"/>
      <c r="B229" s="20"/>
      <c r="C229" s="20"/>
      <c r="D229" s="35"/>
      <c r="E229" s="20"/>
      <c r="F229" s="20"/>
      <c r="G229" s="20"/>
      <c r="H229" s="20"/>
      <c r="I229" s="20"/>
      <c r="J229" s="20"/>
      <c r="K229" s="20"/>
      <c r="L229" s="20"/>
      <c r="M229" s="20"/>
      <c r="N229" s="20"/>
      <c r="O229" s="20"/>
      <c r="P229" s="20"/>
      <c r="Q229" s="20"/>
      <c r="R229" s="20"/>
      <c r="S229" s="20"/>
      <c r="T229" s="20"/>
      <c r="U229" s="20"/>
      <c r="V229" s="20"/>
      <c r="W229" s="20"/>
      <c r="X229" s="20"/>
    </row>
    <row r="230" ht="12.0" customHeight="1">
      <c r="A230" s="20"/>
      <c r="B230" s="20"/>
      <c r="C230" s="20"/>
      <c r="D230" s="35"/>
      <c r="E230" s="20"/>
      <c r="F230" s="20"/>
      <c r="G230" s="20"/>
      <c r="H230" s="20"/>
      <c r="I230" s="20"/>
      <c r="J230" s="20"/>
      <c r="K230" s="20"/>
      <c r="L230" s="20"/>
      <c r="M230" s="20"/>
      <c r="N230" s="20"/>
      <c r="O230" s="20"/>
      <c r="P230" s="20"/>
      <c r="Q230" s="20"/>
      <c r="R230" s="20"/>
      <c r="S230" s="20"/>
      <c r="T230" s="20"/>
      <c r="U230" s="20"/>
      <c r="V230" s="20"/>
      <c r="W230" s="20"/>
      <c r="X230" s="20"/>
    </row>
    <row r="231" ht="12.0" customHeight="1">
      <c r="A231" s="20"/>
      <c r="B231" s="20"/>
      <c r="C231" s="20"/>
      <c r="D231" s="35"/>
      <c r="E231" s="20"/>
      <c r="F231" s="20"/>
      <c r="G231" s="20"/>
      <c r="H231" s="20"/>
      <c r="I231" s="20"/>
      <c r="J231" s="20"/>
      <c r="K231" s="20"/>
      <c r="L231" s="20"/>
      <c r="M231" s="20"/>
      <c r="N231" s="20"/>
      <c r="O231" s="20"/>
      <c r="P231" s="20"/>
      <c r="Q231" s="20"/>
      <c r="R231" s="20"/>
      <c r="S231" s="20"/>
      <c r="T231" s="20"/>
      <c r="U231" s="20"/>
      <c r="V231" s="20"/>
      <c r="W231" s="20"/>
      <c r="X231" s="20"/>
    </row>
    <row r="232" ht="12.0" customHeight="1">
      <c r="A232" s="20"/>
      <c r="B232" s="20"/>
      <c r="C232" s="20"/>
      <c r="D232" s="35"/>
      <c r="E232" s="20"/>
      <c r="F232" s="20"/>
      <c r="G232" s="20"/>
      <c r="H232" s="20"/>
      <c r="I232" s="20"/>
      <c r="J232" s="20"/>
      <c r="K232" s="20"/>
      <c r="L232" s="20"/>
      <c r="M232" s="20"/>
      <c r="N232" s="20"/>
      <c r="O232" s="20"/>
      <c r="P232" s="20"/>
      <c r="Q232" s="20"/>
      <c r="R232" s="20"/>
      <c r="S232" s="20"/>
      <c r="T232" s="20"/>
      <c r="U232" s="20"/>
      <c r="V232" s="20"/>
      <c r="W232" s="20"/>
      <c r="X232" s="20"/>
    </row>
    <row r="233" ht="12.0" customHeight="1">
      <c r="A233" s="20"/>
      <c r="B233" s="20"/>
      <c r="C233" s="20"/>
      <c r="D233" s="35"/>
      <c r="E233" s="20"/>
      <c r="F233" s="20"/>
      <c r="G233" s="20"/>
      <c r="H233" s="20"/>
      <c r="I233" s="20"/>
      <c r="J233" s="20"/>
      <c r="K233" s="20"/>
      <c r="L233" s="20"/>
      <c r="M233" s="20"/>
      <c r="N233" s="20"/>
      <c r="O233" s="20"/>
      <c r="P233" s="20"/>
      <c r="Q233" s="20"/>
      <c r="R233" s="20"/>
      <c r="S233" s="20"/>
      <c r="T233" s="20"/>
      <c r="U233" s="20"/>
      <c r="V233" s="20"/>
      <c r="W233" s="20"/>
      <c r="X233" s="20"/>
    </row>
    <row r="234" ht="12.0" customHeight="1">
      <c r="A234" s="20"/>
      <c r="B234" s="20"/>
      <c r="C234" s="20"/>
      <c r="D234" s="35"/>
      <c r="E234" s="20"/>
      <c r="F234" s="20"/>
      <c r="G234" s="20"/>
      <c r="H234" s="20"/>
      <c r="I234" s="20"/>
      <c r="J234" s="20"/>
      <c r="K234" s="20"/>
      <c r="L234" s="20"/>
      <c r="M234" s="20"/>
      <c r="N234" s="20"/>
      <c r="O234" s="20"/>
      <c r="P234" s="20"/>
      <c r="Q234" s="20"/>
      <c r="R234" s="20"/>
      <c r="S234" s="20"/>
      <c r="T234" s="20"/>
      <c r="U234" s="20"/>
      <c r="V234" s="20"/>
      <c r="W234" s="20"/>
      <c r="X234" s="20"/>
    </row>
    <row r="235" ht="12.0" customHeight="1">
      <c r="A235" s="20"/>
      <c r="B235" s="20"/>
      <c r="C235" s="20"/>
      <c r="D235" s="35"/>
      <c r="E235" s="20"/>
      <c r="F235" s="20"/>
      <c r="G235" s="20"/>
      <c r="H235" s="20"/>
      <c r="I235" s="20"/>
      <c r="J235" s="20"/>
      <c r="K235" s="20"/>
      <c r="L235" s="20"/>
      <c r="M235" s="20"/>
      <c r="N235" s="20"/>
      <c r="O235" s="20"/>
      <c r="P235" s="20"/>
      <c r="Q235" s="20"/>
      <c r="R235" s="20"/>
      <c r="S235" s="20"/>
      <c r="T235" s="20"/>
      <c r="U235" s="20"/>
      <c r="V235" s="20"/>
      <c r="W235" s="20"/>
      <c r="X235" s="20"/>
    </row>
    <row r="236" ht="12.0" customHeight="1">
      <c r="A236" s="20"/>
      <c r="B236" s="20"/>
      <c r="C236" s="20"/>
      <c r="D236" s="35"/>
      <c r="E236" s="20"/>
      <c r="F236" s="20"/>
      <c r="G236" s="20"/>
      <c r="H236" s="20"/>
      <c r="I236" s="20"/>
      <c r="J236" s="20"/>
      <c r="K236" s="20"/>
      <c r="L236" s="20"/>
      <c r="M236" s="20"/>
      <c r="N236" s="20"/>
      <c r="O236" s="20"/>
      <c r="P236" s="20"/>
      <c r="Q236" s="20"/>
      <c r="R236" s="20"/>
      <c r="S236" s="20"/>
      <c r="T236" s="20"/>
      <c r="U236" s="20"/>
      <c r="V236" s="20"/>
      <c r="W236" s="20"/>
      <c r="X236" s="20"/>
    </row>
    <row r="237" ht="12.0" customHeight="1">
      <c r="A237" s="20"/>
      <c r="B237" s="20"/>
      <c r="C237" s="20"/>
      <c r="D237" s="35"/>
      <c r="E237" s="20"/>
      <c r="F237" s="20"/>
      <c r="G237" s="20"/>
      <c r="H237" s="20"/>
      <c r="I237" s="20"/>
      <c r="J237" s="20"/>
      <c r="K237" s="20"/>
      <c r="L237" s="20"/>
      <c r="M237" s="20"/>
      <c r="N237" s="20"/>
      <c r="O237" s="20"/>
      <c r="P237" s="20"/>
      <c r="Q237" s="20"/>
      <c r="R237" s="20"/>
      <c r="S237" s="20"/>
      <c r="T237" s="20"/>
      <c r="U237" s="20"/>
      <c r="V237" s="20"/>
      <c r="W237" s="20"/>
      <c r="X237" s="20"/>
    </row>
    <row r="238" ht="12.0" customHeight="1">
      <c r="A238" s="20"/>
      <c r="B238" s="20"/>
      <c r="C238" s="20"/>
      <c r="D238" s="35"/>
      <c r="E238" s="20"/>
      <c r="F238" s="20"/>
      <c r="G238" s="20"/>
      <c r="H238" s="20"/>
      <c r="I238" s="20"/>
      <c r="J238" s="20"/>
      <c r="K238" s="20"/>
      <c r="L238" s="20"/>
      <c r="M238" s="20"/>
      <c r="N238" s="20"/>
      <c r="O238" s="20"/>
      <c r="P238" s="20"/>
      <c r="Q238" s="20"/>
      <c r="R238" s="20"/>
      <c r="S238" s="20"/>
      <c r="T238" s="20"/>
      <c r="U238" s="20"/>
      <c r="V238" s="20"/>
      <c r="W238" s="20"/>
      <c r="X238" s="20"/>
    </row>
    <row r="239" ht="12.0" customHeight="1">
      <c r="A239" s="20"/>
      <c r="B239" s="20"/>
      <c r="C239" s="20"/>
      <c r="D239" s="35"/>
      <c r="E239" s="20"/>
      <c r="F239" s="20"/>
      <c r="G239" s="20"/>
      <c r="H239" s="20"/>
      <c r="I239" s="20"/>
      <c r="J239" s="20"/>
      <c r="K239" s="20"/>
      <c r="L239" s="20"/>
      <c r="M239" s="20"/>
      <c r="N239" s="20"/>
      <c r="O239" s="20"/>
      <c r="P239" s="20"/>
      <c r="Q239" s="20"/>
      <c r="R239" s="20"/>
      <c r="S239" s="20"/>
      <c r="T239" s="20"/>
      <c r="U239" s="20"/>
      <c r="V239" s="20"/>
      <c r="W239" s="20"/>
      <c r="X239" s="20"/>
    </row>
    <row r="240" ht="12.0" customHeight="1">
      <c r="A240" s="20"/>
      <c r="B240" s="20"/>
      <c r="C240" s="20"/>
      <c r="D240" s="35"/>
      <c r="E240" s="20"/>
      <c r="F240" s="20"/>
      <c r="G240" s="20"/>
      <c r="H240" s="20"/>
      <c r="I240" s="20"/>
      <c r="J240" s="20"/>
      <c r="K240" s="20"/>
      <c r="L240" s="20"/>
      <c r="M240" s="20"/>
      <c r="N240" s="20"/>
      <c r="O240" s="20"/>
      <c r="P240" s="20"/>
      <c r="Q240" s="20"/>
      <c r="R240" s="20"/>
      <c r="S240" s="20"/>
      <c r="T240" s="20"/>
      <c r="U240" s="20"/>
      <c r="V240" s="20"/>
      <c r="W240" s="20"/>
      <c r="X240" s="20"/>
    </row>
    <row r="241" ht="12.0" customHeight="1">
      <c r="A241" s="20"/>
      <c r="B241" s="20"/>
      <c r="C241" s="20"/>
      <c r="D241" s="35"/>
      <c r="E241" s="20"/>
      <c r="F241" s="20"/>
      <c r="G241" s="20"/>
      <c r="H241" s="20"/>
      <c r="I241" s="20"/>
      <c r="J241" s="20"/>
      <c r="K241" s="20"/>
      <c r="L241" s="20"/>
      <c r="M241" s="20"/>
      <c r="N241" s="20"/>
      <c r="O241" s="20"/>
      <c r="P241" s="20"/>
      <c r="Q241" s="20"/>
      <c r="R241" s="20"/>
      <c r="S241" s="20"/>
      <c r="T241" s="20"/>
      <c r="U241" s="20"/>
      <c r="V241" s="20"/>
      <c r="W241" s="20"/>
      <c r="X241" s="20"/>
    </row>
    <row r="242" ht="12.0" customHeight="1">
      <c r="A242" s="20"/>
      <c r="B242" s="20"/>
      <c r="C242" s="20"/>
      <c r="D242" s="35"/>
      <c r="E242" s="20"/>
      <c r="F242" s="20"/>
      <c r="G242" s="20"/>
      <c r="H242" s="20"/>
      <c r="I242" s="20"/>
      <c r="J242" s="20"/>
      <c r="K242" s="20"/>
      <c r="L242" s="20"/>
      <c r="M242" s="20"/>
      <c r="N242" s="20"/>
      <c r="O242" s="20"/>
      <c r="P242" s="20"/>
      <c r="Q242" s="20"/>
      <c r="R242" s="20"/>
      <c r="S242" s="20"/>
      <c r="T242" s="20"/>
      <c r="U242" s="20"/>
      <c r="V242" s="20"/>
      <c r="W242" s="20"/>
      <c r="X242" s="20"/>
    </row>
    <row r="243" ht="12.0" customHeight="1">
      <c r="A243" s="20"/>
      <c r="B243" s="20"/>
      <c r="C243" s="20"/>
      <c r="D243" s="35"/>
      <c r="E243" s="20"/>
      <c r="F243" s="20"/>
      <c r="G243" s="20"/>
      <c r="H243" s="20"/>
      <c r="I243" s="20"/>
      <c r="J243" s="20"/>
      <c r="K243" s="20"/>
      <c r="L243" s="20"/>
      <c r="M243" s="20"/>
      <c r="N243" s="20"/>
      <c r="O243" s="20"/>
      <c r="P243" s="20"/>
      <c r="Q243" s="20"/>
      <c r="R243" s="20"/>
      <c r="S243" s="20"/>
      <c r="T243" s="20"/>
      <c r="U243" s="20"/>
      <c r="V243" s="20"/>
      <c r="W243" s="20"/>
      <c r="X243" s="20"/>
    </row>
    <row r="244" ht="12.0" customHeight="1">
      <c r="A244" s="20"/>
      <c r="B244" s="20"/>
      <c r="C244" s="20"/>
      <c r="D244" s="35"/>
      <c r="E244" s="20"/>
      <c r="F244" s="20"/>
      <c r="G244" s="20"/>
      <c r="H244" s="20"/>
      <c r="I244" s="20"/>
      <c r="J244" s="20"/>
      <c r="K244" s="20"/>
      <c r="L244" s="20"/>
      <c r="M244" s="20"/>
      <c r="N244" s="20"/>
      <c r="O244" s="20"/>
      <c r="P244" s="20"/>
      <c r="Q244" s="20"/>
      <c r="R244" s="20"/>
      <c r="S244" s="20"/>
      <c r="T244" s="20"/>
      <c r="U244" s="20"/>
      <c r="V244" s="20"/>
      <c r="W244" s="20"/>
      <c r="X244" s="20"/>
    </row>
    <row r="245" ht="12.0" customHeight="1">
      <c r="A245" s="20"/>
      <c r="B245" s="20"/>
      <c r="C245" s="20"/>
      <c r="D245" s="35"/>
      <c r="E245" s="20"/>
      <c r="F245" s="20"/>
      <c r="G245" s="20"/>
      <c r="H245" s="20"/>
      <c r="I245" s="20"/>
      <c r="J245" s="20"/>
      <c r="K245" s="20"/>
      <c r="L245" s="20"/>
      <c r="M245" s="20"/>
      <c r="N245" s="20"/>
      <c r="O245" s="20"/>
      <c r="P245" s="20"/>
      <c r="Q245" s="20"/>
      <c r="R245" s="20"/>
      <c r="S245" s="20"/>
      <c r="T245" s="20"/>
      <c r="U245" s="20"/>
      <c r="V245" s="20"/>
      <c r="W245" s="20"/>
      <c r="X245" s="20"/>
    </row>
    <row r="246" ht="12.0" customHeight="1">
      <c r="A246" s="20"/>
      <c r="B246" s="20"/>
      <c r="C246" s="20"/>
      <c r="D246" s="35"/>
      <c r="E246" s="20"/>
      <c r="F246" s="20"/>
      <c r="G246" s="20"/>
      <c r="H246" s="20"/>
      <c r="I246" s="20"/>
      <c r="J246" s="20"/>
      <c r="K246" s="20"/>
      <c r="L246" s="20"/>
      <c r="M246" s="20"/>
      <c r="N246" s="20"/>
      <c r="O246" s="20"/>
      <c r="P246" s="20"/>
      <c r="Q246" s="20"/>
      <c r="R246" s="20"/>
      <c r="S246" s="20"/>
      <c r="T246" s="20"/>
      <c r="U246" s="20"/>
      <c r="V246" s="20"/>
      <c r="W246" s="20"/>
      <c r="X246" s="20"/>
    </row>
    <row r="247" ht="12.0" customHeight="1">
      <c r="A247" s="20"/>
      <c r="B247" s="20"/>
      <c r="C247" s="20"/>
      <c r="D247" s="35"/>
      <c r="E247" s="20"/>
      <c r="F247" s="20"/>
      <c r="G247" s="20"/>
      <c r="H247" s="20"/>
      <c r="I247" s="20"/>
      <c r="J247" s="20"/>
      <c r="K247" s="20"/>
      <c r="L247" s="20"/>
      <c r="M247" s="20"/>
      <c r="N247" s="20"/>
      <c r="O247" s="20"/>
      <c r="P247" s="20"/>
      <c r="Q247" s="20"/>
      <c r="R247" s="20"/>
      <c r="S247" s="20"/>
      <c r="T247" s="20"/>
      <c r="U247" s="20"/>
      <c r="V247" s="20"/>
      <c r="W247" s="20"/>
      <c r="X247" s="20"/>
    </row>
    <row r="248" ht="12.0" customHeight="1">
      <c r="A248" s="20"/>
      <c r="B248" s="20"/>
      <c r="C248" s="20"/>
      <c r="D248" s="35"/>
      <c r="E248" s="20"/>
      <c r="F248" s="20"/>
      <c r="G248" s="20"/>
      <c r="H248" s="20"/>
      <c r="I248" s="20"/>
      <c r="J248" s="20"/>
      <c r="K248" s="20"/>
      <c r="L248" s="20"/>
      <c r="M248" s="20"/>
      <c r="N248" s="20"/>
      <c r="O248" s="20"/>
      <c r="P248" s="20"/>
      <c r="Q248" s="20"/>
      <c r="R248" s="20"/>
      <c r="S248" s="20"/>
      <c r="T248" s="20"/>
      <c r="U248" s="20"/>
      <c r="V248" s="20"/>
      <c r="W248" s="20"/>
      <c r="X248" s="20"/>
    </row>
    <row r="249" ht="12.0" customHeight="1">
      <c r="A249" s="20"/>
      <c r="B249" s="20"/>
      <c r="C249" s="20"/>
      <c r="D249" s="35"/>
      <c r="E249" s="20"/>
      <c r="F249" s="20"/>
      <c r="G249" s="20"/>
      <c r="H249" s="20"/>
      <c r="I249" s="20"/>
      <c r="J249" s="20"/>
      <c r="K249" s="20"/>
      <c r="L249" s="20"/>
      <c r="M249" s="20"/>
      <c r="N249" s="20"/>
      <c r="O249" s="20"/>
      <c r="P249" s="20"/>
      <c r="Q249" s="20"/>
      <c r="R249" s="20"/>
      <c r="S249" s="20"/>
      <c r="T249" s="20"/>
      <c r="U249" s="20"/>
      <c r="V249" s="20"/>
      <c r="W249" s="20"/>
      <c r="X249" s="20"/>
    </row>
    <row r="250" ht="12.0" customHeight="1">
      <c r="A250" s="20"/>
      <c r="B250" s="20"/>
      <c r="C250" s="20"/>
      <c r="D250" s="35"/>
      <c r="E250" s="20"/>
      <c r="F250" s="20"/>
      <c r="G250" s="20"/>
      <c r="H250" s="20"/>
      <c r="I250" s="20"/>
      <c r="J250" s="20"/>
      <c r="K250" s="20"/>
      <c r="L250" s="20"/>
      <c r="M250" s="20"/>
      <c r="N250" s="20"/>
      <c r="O250" s="20"/>
      <c r="P250" s="20"/>
      <c r="Q250" s="20"/>
      <c r="R250" s="20"/>
      <c r="S250" s="20"/>
      <c r="T250" s="20"/>
      <c r="U250" s="20"/>
      <c r="V250" s="20"/>
      <c r="W250" s="20"/>
      <c r="X250" s="20"/>
    </row>
    <row r="251" ht="12.0" customHeight="1">
      <c r="A251" s="20"/>
      <c r="B251" s="20"/>
      <c r="C251" s="20"/>
      <c r="D251" s="35"/>
      <c r="E251" s="20"/>
      <c r="F251" s="20"/>
      <c r="G251" s="20"/>
      <c r="H251" s="20"/>
      <c r="I251" s="20"/>
      <c r="J251" s="20"/>
      <c r="K251" s="20"/>
      <c r="L251" s="20"/>
      <c r="M251" s="20"/>
      <c r="N251" s="20"/>
      <c r="O251" s="20"/>
      <c r="P251" s="20"/>
      <c r="Q251" s="20"/>
      <c r="R251" s="20"/>
      <c r="S251" s="20"/>
      <c r="T251" s="20"/>
      <c r="U251" s="20"/>
      <c r="V251" s="20"/>
      <c r="W251" s="20"/>
      <c r="X251" s="20"/>
    </row>
    <row r="252" ht="12.0" customHeight="1">
      <c r="A252" s="20"/>
      <c r="B252" s="20"/>
      <c r="C252" s="20"/>
      <c r="D252" s="35"/>
      <c r="E252" s="20"/>
      <c r="F252" s="20"/>
      <c r="G252" s="20"/>
      <c r="H252" s="20"/>
      <c r="I252" s="20"/>
      <c r="J252" s="20"/>
      <c r="K252" s="20"/>
      <c r="L252" s="20"/>
      <c r="M252" s="20"/>
      <c r="N252" s="20"/>
      <c r="O252" s="20"/>
      <c r="P252" s="20"/>
      <c r="Q252" s="20"/>
      <c r="R252" s="20"/>
      <c r="S252" s="20"/>
      <c r="T252" s="20"/>
      <c r="U252" s="20"/>
      <c r="V252" s="20"/>
      <c r="W252" s="20"/>
      <c r="X252" s="20"/>
    </row>
    <row r="253" ht="12.0" customHeight="1">
      <c r="A253" s="20"/>
      <c r="B253" s="20"/>
      <c r="C253" s="20"/>
      <c r="D253" s="35"/>
      <c r="E253" s="20"/>
      <c r="F253" s="20"/>
      <c r="G253" s="20"/>
      <c r="H253" s="20"/>
      <c r="I253" s="20"/>
      <c r="J253" s="20"/>
      <c r="K253" s="20"/>
      <c r="L253" s="20"/>
      <c r="M253" s="20"/>
      <c r="N253" s="20"/>
      <c r="O253" s="20"/>
      <c r="P253" s="20"/>
      <c r="Q253" s="20"/>
      <c r="R253" s="20"/>
      <c r="S253" s="20"/>
      <c r="T253" s="20"/>
      <c r="U253" s="20"/>
      <c r="V253" s="20"/>
      <c r="W253" s="20"/>
      <c r="X253" s="20"/>
    </row>
    <row r="254" ht="12.0" customHeight="1">
      <c r="A254" s="20"/>
      <c r="B254" s="20"/>
      <c r="C254" s="20"/>
      <c r="D254" s="35"/>
      <c r="E254" s="20"/>
      <c r="F254" s="20"/>
      <c r="G254" s="20"/>
      <c r="H254" s="20"/>
      <c r="I254" s="20"/>
      <c r="J254" s="20"/>
      <c r="K254" s="20"/>
      <c r="L254" s="20"/>
      <c r="M254" s="20"/>
      <c r="N254" s="20"/>
      <c r="O254" s="20"/>
      <c r="P254" s="20"/>
      <c r="Q254" s="20"/>
      <c r="R254" s="20"/>
      <c r="S254" s="20"/>
      <c r="T254" s="20"/>
      <c r="U254" s="20"/>
      <c r="V254" s="20"/>
      <c r="W254" s="20"/>
      <c r="X254" s="20"/>
    </row>
    <row r="255" ht="12.0" customHeight="1">
      <c r="A255" s="20"/>
      <c r="B255" s="20"/>
      <c r="C255" s="20"/>
      <c r="D255" s="35"/>
      <c r="E255" s="20"/>
      <c r="F255" s="20"/>
      <c r="G255" s="20"/>
      <c r="H255" s="20"/>
      <c r="I255" s="20"/>
      <c r="J255" s="20"/>
      <c r="K255" s="20"/>
      <c r="L255" s="20"/>
      <c r="M255" s="20"/>
      <c r="N255" s="20"/>
      <c r="O255" s="20"/>
      <c r="P255" s="20"/>
      <c r="Q255" s="20"/>
      <c r="R255" s="20"/>
      <c r="S255" s="20"/>
      <c r="T255" s="20"/>
      <c r="U255" s="20"/>
      <c r="V255" s="20"/>
      <c r="W255" s="20"/>
      <c r="X255" s="20"/>
    </row>
    <row r="256" ht="12.0" customHeight="1">
      <c r="A256" s="20"/>
      <c r="B256" s="20"/>
      <c r="C256" s="20"/>
      <c r="D256" s="35"/>
      <c r="E256" s="20"/>
      <c r="F256" s="20"/>
      <c r="G256" s="20"/>
      <c r="H256" s="20"/>
      <c r="I256" s="20"/>
      <c r="J256" s="20"/>
      <c r="K256" s="20"/>
      <c r="L256" s="20"/>
      <c r="M256" s="20"/>
      <c r="N256" s="20"/>
      <c r="O256" s="20"/>
      <c r="P256" s="20"/>
      <c r="Q256" s="20"/>
      <c r="R256" s="20"/>
      <c r="S256" s="20"/>
      <c r="T256" s="20"/>
      <c r="U256" s="20"/>
      <c r="V256" s="20"/>
      <c r="W256" s="20"/>
      <c r="X256" s="20"/>
    </row>
    <row r="257" ht="12.0" customHeight="1">
      <c r="A257" s="20"/>
      <c r="B257" s="20"/>
      <c r="C257" s="20"/>
      <c r="D257" s="35"/>
      <c r="E257" s="20"/>
      <c r="F257" s="20"/>
      <c r="G257" s="20"/>
      <c r="H257" s="20"/>
      <c r="I257" s="20"/>
      <c r="J257" s="20"/>
      <c r="K257" s="20"/>
      <c r="L257" s="20"/>
      <c r="M257" s="20"/>
      <c r="N257" s="20"/>
      <c r="O257" s="20"/>
      <c r="P257" s="20"/>
      <c r="Q257" s="20"/>
      <c r="R257" s="20"/>
      <c r="S257" s="20"/>
      <c r="T257" s="20"/>
      <c r="U257" s="20"/>
      <c r="V257" s="20"/>
      <c r="W257" s="20"/>
      <c r="X257" s="20"/>
    </row>
    <row r="258" ht="12.0" customHeight="1">
      <c r="A258" s="20"/>
      <c r="B258" s="20"/>
      <c r="C258" s="20"/>
      <c r="D258" s="35"/>
      <c r="E258" s="20"/>
      <c r="F258" s="20"/>
      <c r="G258" s="20"/>
      <c r="H258" s="20"/>
      <c r="I258" s="20"/>
      <c r="J258" s="20"/>
      <c r="K258" s="20"/>
      <c r="L258" s="20"/>
      <c r="M258" s="20"/>
      <c r="N258" s="20"/>
      <c r="O258" s="20"/>
      <c r="P258" s="20"/>
      <c r="Q258" s="20"/>
      <c r="R258" s="20"/>
      <c r="S258" s="20"/>
      <c r="T258" s="20"/>
      <c r="U258" s="20"/>
      <c r="V258" s="20"/>
      <c r="W258" s="20"/>
      <c r="X258" s="20"/>
    </row>
    <row r="259" ht="12.0" customHeight="1">
      <c r="A259" s="20"/>
      <c r="B259" s="20"/>
      <c r="C259" s="20"/>
      <c r="D259" s="35"/>
      <c r="E259" s="20"/>
      <c r="F259" s="20"/>
      <c r="G259" s="20"/>
      <c r="H259" s="20"/>
      <c r="I259" s="20"/>
      <c r="J259" s="20"/>
      <c r="K259" s="20"/>
      <c r="L259" s="20"/>
      <c r="M259" s="20"/>
      <c r="N259" s="20"/>
      <c r="O259" s="20"/>
      <c r="P259" s="20"/>
      <c r="Q259" s="20"/>
      <c r="R259" s="20"/>
      <c r="S259" s="20"/>
      <c r="T259" s="20"/>
      <c r="U259" s="20"/>
      <c r="V259" s="20"/>
      <c r="W259" s="20"/>
      <c r="X259" s="20"/>
    </row>
    <row r="260" ht="12.0" customHeight="1">
      <c r="A260" s="20"/>
      <c r="B260" s="20"/>
      <c r="C260" s="20"/>
      <c r="D260" s="35"/>
      <c r="E260" s="20"/>
      <c r="F260" s="20"/>
      <c r="G260" s="20"/>
      <c r="H260" s="20"/>
      <c r="I260" s="20"/>
      <c r="J260" s="20"/>
      <c r="K260" s="20"/>
      <c r="L260" s="20"/>
      <c r="M260" s="20"/>
      <c r="N260" s="20"/>
      <c r="O260" s="20"/>
      <c r="P260" s="20"/>
      <c r="Q260" s="20"/>
      <c r="R260" s="20"/>
      <c r="S260" s="20"/>
      <c r="T260" s="20"/>
      <c r="U260" s="20"/>
      <c r="V260" s="20"/>
      <c r="W260" s="20"/>
      <c r="X260" s="20"/>
    </row>
    <row r="261" ht="12.0" customHeight="1">
      <c r="A261" s="20"/>
      <c r="B261" s="20"/>
      <c r="C261" s="20"/>
      <c r="D261" s="35"/>
      <c r="E261" s="20"/>
      <c r="F261" s="20"/>
      <c r="G261" s="20"/>
      <c r="H261" s="20"/>
      <c r="I261" s="20"/>
      <c r="J261" s="20"/>
      <c r="K261" s="20"/>
      <c r="L261" s="20"/>
      <c r="M261" s="20"/>
      <c r="N261" s="20"/>
      <c r="O261" s="20"/>
      <c r="P261" s="20"/>
      <c r="Q261" s="20"/>
      <c r="R261" s="20"/>
      <c r="S261" s="20"/>
      <c r="T261" s="20"/>
      <c r="U261" s="20"/>
      <c r="V261" s="20"/>
      <c r="W261" s="20"/>
      <c r="X261" s="20"/>
    </row>
    <row r="262" ht="12.0" customHeight="1">
      <c r="A262" s="20"/>
      <c r="B262" s="20"/>
      <c r="C262" s="20"/>
      <c r="D262" s="35"/>
      <c r="E262" s="20"/>
      <c r="F262" s="20"/>
      <c r="G262" s="20"/>
      <c r="H262" s="20"/>
      <c r="I262" s="20"/>
      <c r="J262" s="20"/>
      <c r="K262" s="20"/>
      <c r="L262" s="20"/>
      <c r="M262" s="20"/>
      <c r="N262" s="20"/>
      <c r="O262" s="20"/>
      <c r="P262" s="20"/>
      <c r="Q262" s="20"/>
      <c r="R262" s="20"/>
      <c r="S262" s="20"/>
      <c r="T262" s="20"/>
      <c r="U262" s="20"/>
      <c r="V262" s="20"/>
      <c r="W262" s="20"/>
      <c r="X262" s="20"/>
    </row>
    <row r="263" ht="12.0" customHeight="1">
      <c r="A263" s="20"/>
      <c r="B263" s="20"/>
      <c r="C263" s="20"/>
      <c r="D263" s="35"/>
      <c r="E263" s="20"/>
      <c r="F263" s="20"/>
      <c r="G263" s="20"/>
      <c r="H263" s="20"/>
      <c r="I263" s="20"/>
      <c r="J263" s="20"/>
      <c r="K263" s="20"/>
      <c r="L263" s="20"/>
      <c r="M263" s="20"/>
      <c r="N263" s="20"/>
      <c r="O263" s="20"/>
      <c r="P263" s="20"/>
      <c r="Q263" s="20"/>
      <c r="R263" s="20"/>
      <c r="S263" s="20"/>
      <c r="T263" s="20"/>
      <c r="U263" s="20"/>
      <c r="V263" s="20"/>
      <c r="W263" s="20"/>
      <c r="X263" s="20"/>
    </row>
    <row r="264" ht="12.0" customHeight="1">
      <c r="A264" s="20"/>
      <c r="B264" s="20"/>
      <c r="C264" s="20"/>
      <c r="D264" s="35"/>
      <c r="E264" s="20"/>
      <c r="F264" s="20"/>
      <c r="G264" s="20"/>
      <c r="H264" s="20"/>
      <c r="I264" s="20"/>
      <c r="J264" s="20"/>
      <c r="K264" s="20"/>
      <c r="L264" s="20"/>
      <c r="M264" s="20"/>
      <c r="N264" s="20"/>
      <c r="O264" s="20"/>
      <c r="P264" s="20"/>
      <c r="Q264" s="20"/>
      <c r="R264" s="20"/>
      <c r="S264" s="20"/>
      <c r="T264" s="20"/>
      <c r="U264" s="20"/>
      <c r="V264" s="20"/>
      <c r="W264" s="20"/>
      <c r="X264" s="20"/>
    </row>
    <row r="265" ht="12.0" customHeight="1">
      <c r="A265" s="20"/>
      <c r="B265" s="20"/>
      <c r="C265" s="20"/>
      <c r="D265" s="35"/>
      <c r="E265" s="20"/>
      <c r="F265" s="20"/>
      <c r="G265" s="20"/>
      <c r="H265" s="20"/>
      <c r="I265" s="20"/>
      <c r="J265" s="20"/>
      <c r="K265" s="20"/>
      <c r="L265" s="20"/>
      <c r="M265" s="20"/>
      <c r="N265" s="20"/>
      <c r="O265" s="20"/>
      <c r="P265" s="20"/>
      <c r="Q265" s="20"/>
      <c r="R265" s="20"/>
      <c r="S265" s="20"/>
      <c r="T265" s="20"/>
      <c r="U265" s="20"/>
      <c r="V265" s="20"/>
      <c r="W265" s="20"/>
      <c r="X265" s="20"/>
    </row>
    <row r="266" ht="12.0" customHeight="1">
      <c r="A266" s="20"/>
      <c r="B266" s="20"/>
      <c r="C266" s="20"/>
      <c r="D266" s="35"/>
      <c r="E266" s="20"/>
      <c r="F266" s="20"/>
      <c r="G266" s="20"/>
      <c r="H266" s="20"/>
      <c r="I266" s="20"/>
      <c r="J266" s="20"/>
      <c r="K266" s="20"/>
      <c r="L266" s="20"/>
      <c r="M266" s="20"/>
      <c r="N266" s="20"/>
      <c r="O266" s="20"/>
      <c r="P266" s="20"/>
      <c r="Q266" s="20"/>
      <c r="R266" s="20"/>
      <c r="S266" s="20"/>
      <c r="T266" s="20"/>
      <c r="U266" s="20"/>
      <c r="V266" s="20"/>
      <c r="W266" s="20"/>
      <c r="X266" s="20"/>
    </row>
    <row r="267" ht="12.0" customHeight="1">
      <c r="A267" s="20"/>
      <c r="B267" s="20"/>
      <c r="C267" s="20"/>
      <c r="D267" s="35"/>
      <c r="E267" s="20"/>
      <c r="F267" s="20"/>
      <c r="G267" s="20"/>
      <c r="H267" s="20"/>
      <c r="I267" s="20"/>
      <c r="J267" s="20"/>
      <c r="K267" s="20"/>
      <c r="L267" s="20"/>
      <c r="M267" s="20"/>
      <c r="N267" s="20"/>
      <c r="O267" s="20"/>
      <c r="P267" s="20"/>
      <c r="Q267" s="20"/>
      <c r="R267" s="20"/>
      <c r="S267" s="20"/>
      <c r="T267" s="20"/>
      <c r="U267" s="20"/>
      <c r="V267" s="20"/>
      <c r="W267" s="20"/>
      <c r="X267" s="20"/>
    </row>
    <row r="268" ht="12.0" customHeight="1">
      <c r="A268" s="20"/>
      <c r="B268" s="20"/>
      <c r="C268" s="20"/>
      <c r="D268" s="35"/>
      <c r="E268" s="20"/>
      <c r="F268" s="20"/>
      <c r="G268" s="20"/>
      <c r="H268" s="20"/>
      <c r="I268" s="20"/>
      <c r="J268" s="20"/>
      <c r="K268" s="20"/>
      <c r="L268" s="20"/>
      <c r="M268" s="20"/>
      <c r="N268" s="20"/>
      <c r="O268" s="20"/>
      <c r="P268" s="20"/>
      <c r="Q268" s="20"/>
      <c r="R268" s="20"/>
      <c r="S268" s="20"/>
      <c r="T268" s="20"/>
      <c r="U268" s="20"/>
      <c r="V268" s="20"/>
      <c r="W268" s="20"/>
      <c r="X268" s="20"/>
    </row>
    <row r="269" ht="12.0" customHeight="1">
      <c r="A269" s="20"/>
      <c r="B269" s="20"/>
      <c r="C269" s="20"/>
      <c r="D269" s="35"/>
      <c r="E269" s="20"/>
      <c r="F269" s="20"/>
      <c r="G269" s="20"/>
      <c r="H269" s="20"/>
      <c r="I269" s="20"/>
      <c r="J269" s="20"/>
      <c r="K269" s="20"/>
      <c r="L269" s="20"/>
      <c r="M269" s="20"/>
      <c r="N269" s="20"/>
      <c r="O269" s="20"/>
      <c r="P269" s="20"/>
      <c r="Q269" s="20"/>
      <c r="R269" s="20"/>
      <c r="S269" s="20"/>
      <c r="T269" s="20"/>
      <c r="U269" s="20"/>
      <c r="V269" s="20"/>
      <c r="W269" s="20"/>
      <c r="X269" s="20"/>
    </row>
    <row r="270" ht="12.0" customHeight="1">
      <c r="A270" s="20"/>
      <c r="B270" s="20"/>
      <c r="C270" s="20"/>
      <c r="D270" s="35"/>
      <c r="E270" s="20"/>
      <c r="F270" s="20"/>
      <c r="G270" s="20"/>
      <c r="H270" s="20"/>
      <c r="I270" s="20"/>
      <c r="J270" s="20"/>
      <c r="K270" s="20"/>
      <c r="L270" s="20"/>
      <c r="M270" s="20"/>
      <c r="N270" s="20"/>
      <c r="O270" s="20"/>
      <c r="P270" s="20"/>
      <c r="Q270" s="20"/>
      <c r="R270" s="20"/>
      <c r="S270" s="20"/>
      <c r="T270" s="20"/>
      <c r="U270" s="20"/>
      <c r="V270" s="20"/>
      <c r="W270" s="20"/>
      <c r="X270" s="20"/>
    </row>
    <row r="271" ht="12.0" customHeight="1">
      <c r="A271" s="20"/>
      <c r="B271" s="20"/>
      <c r="C271" s="20"/>
      <c r="D271" s="35"/>
      <c r="E271" s="20"/>
      <c r="F271" s="20"/>
      <c r="G271" s="20"/>
      <c r="H271" s="20"/>
      <c r="I271" s="20"/>
      <c r="J271" s="20"/>
      <c r="K271" s="20"/>
      <c r="L271" s="20"/>
      <c r="M271" s="20"/>
      <c r="N271" s="20"/>
      <c r="O271" s="20"/>
      <c r="P271" s="20"/>
      <c r="Q271" s="20"/>
      <c r="R271" s="20"/>
      <c r="S271" s="20"/>
      <c r="T271" s="20"/>
      <c r="U271" s="20"/>
      <c r="V271" s="20"/>
      <c r="W271" s="20"/>
      <c r="X271" s="20"/>
    </row>
    <row r="272" ht="12.0" customHeight="1">
      <c r="A272" s="20"/>
      <c r="B272" s="20"/>
      <c r="C272" s="20"/>
      <c r="D272" s="35"/>
      <c r="E272" s="20"/>
      <c r="F272" s="20"/>
      <c r="G272" s="20"/>
      <c r="H272" s="20"/>
      <c r="I272" s="20"/>
      <c r="J272" s="20"/>
      <c r="K272" s="20"/>
      <c r="L272" s="20"/>
      <c r="M272" s="20"/>
      <c r="N272" s="20"/>
      <c r="O272" s="20"/>
      <c r="P272" s="20"/>
      <c r="Q272" s="20"/>
      <c r="R272" s="20"/>
      <c r="S272" s="20"/>
      <c r="T272" s="20"/>
      <c r="U272" s="20"/>
      <c r="V272" s="20"/>
      <c r="W272" s="20"/>
      <c r="X272" s="20"/>
    </row>
    <row r="273" ht="12.0" customHeight="1">
      <c r="A273" s="20"/>
      <c r="B273" s="20"/>
      <c r="C273" s="20"/>
      <c r="D273" s="35"/>
      <c r="E273" s="20"/>
      <c r="F273" s="20"/>
      <c r="G273" s="20"/>
      <c r="H273" s="20"/>
      <c r="I273" s="20"/>
      <c r="J273" s="20"/>
      <c r="K273" s="20"/>
      <c r="L273" s="20"/>
      <c r="M273" s="20"/>
      <c r="N273" s="20"/>
      <c r="O273" s="20"/>
      <c r="P273" s="20"/>
      <c r="Q273" s="20"/>
      <c r="R273" s="20"/>
      <c r="S273" s="20"/>
      <c r="T273" s="20"/>
      <c r="U273" s="20"/>
      <c r="V273" s="20"/>
      <c r="W273" s="20"/>
      <c r="X273" s="20"/>
    </row>
    <row r="274" ht="12.0" customHeight="1">
      <c r="A274" s="20"/>
      <c r="B274" s="20"/>
      <c r="C274" s="20"/>
      <c r="D274" s="35"/>
      <c r="E274" s="20"/>
      <c r="F274" s="20"/>
      <c r="G274" s="20"/>
      <c r="H274" s="20"/>
      <c r="I274" s="20"/>
      <c r="J274" s="20"/>
      <c r="K274" s="20"/>
      <c r="L274" s="20"/>
      <c r="M274" s="20"/>
      <c r="N274" s="20"/>
      <c r="O274" s="20"/>
      <c r="P274" s="20"/>
      <c r="Q274" s="20"/>
      <c r="R274" s="20"/>
      <c r="S274" s="20"/>
      <c r="T274" s="20"/>
      <c r="U274" s="20"/>
      <c r="V274" s="20"/>
      <c r="W274" s="20"/>
      <c r="X274" s="20"/>
    </row>
    <row r="275" ht="12.0" customHeight="1">
      <c r="A275" s="20"/>
      <c r="B275" s="20"/>
      <c r="C275" s="20"/>
      <c r="D275" s="35"/>
      <c r="E275" s="20"/>
      <c r="F275" s="20"/>
      <c r="G275" s="20"/>
      <c r="H275" s="20"/>
      <c r="I275" s="20"/>
      <c r="J275" s="20"/>
      <c r="K275" s="20"/>
      <c r="L275" s="20"/>
      <c r="M275" s="20"/>
      <c r="N275" s="20"/>
      <c r="O275" s="20"/>
      <c r="P275" s="20"/>
      <c r="Q275" s="20"/>
      <c r="R275" s="20"/>
      <c r="S275" s="20"/>
      <c r="T275" s="20"/>
      <c r="U275" s="20"/>
      <c r="V275" s="20"/>
      <c r="W275" s="20"/>
      <c r="X275" s="20"/>
    </row>
    <row r="276" ht="12.0" customHeight="1">
      <c r="A276" s="20"/>
      <c r="B276" s="20"/>
      <c r="C276" s="20"/>
      <c r="D276" s="35"/>
      <c r="E276" s="20"/>
      <c r="F276" s="20"/>
      <c r="G276" s="20"/>
      <c r="H276" s="20"/>
      <c r="I276" s="20"/>
      <c r="J276" s="20"/>
      <c r="K276" s="20"/>
      <c r="L276" s="20"/>
      <c r="M276" s="20"/>
      <c r="N276" s="20"/>
      <c r="O276" s="20"/>
      <c r="P276" s="20"/>
      <c r="Q276" s="20"/>
      <c r="R276" s="20"/>
      <c r="S276" s="20"/>
      <c r="T276" s="20"/>
      <c r="U276" s="20"/>
      <c r="V276" s="20"/>
      <c r="W276" s="20"/>
      <c r="X276" s="20"/>
    </row>
    <row r="277" ht="12.0" customHeight="1">
      <c r="A277" s="20"/>
      <c r="B277" s="20"/>
      <c r="C277" s="20"/>
      <c r="D277" s="35"/>
      <c r="E277" s="20"/>
      <c r="F277" s="20"/>
      <c r="G277" s="20"/>
      <c r="H277" s="20"/>
      <c r="I277" s="20"/>
      <c r="J277" s="20"/>
      <c r="K277" s="20"/>
      <c r="L277" s="20"/>
      <c r="M277" s="20"/>
      <c r="N277" s="20"/>
      <c r="O277" s="20"/>
      <c r="P277" s="20"/>
      <c r="Q277" s="20"/>
      <c r="R277" s="20"/>
      <c r="S277" s="20"/>
      <c r="T277" s="20"/>
      <c r="U277" s="20"/>
      <c r="V277" s="20"/>
      <c r="W277" s="20"/>
      <c r="X277" s="20"/>
    </row>
    <row r="278" ht="12.0" customHeight="1">
      <c r="A278" s="20"/>
      <c r="B278" s="20"/>
      <c r="C278" s="20"/>
      <c r="D278" s="35"/>
      <c r="E278" s="20"/>
      <c r="F278" s="20"/>
      <c r="G278" s="20"/>
      <c r="H278" s="20"/>
      <c r="I278" s="20"/>
      <c r="J278" s="20"/>
      <c r="K278" s="20"/>
      <c r="L278" s="20"/>
      <c r="M278" s="20"/>
      <c r="N278" s="20"/>
      <c r="O278" s="20"/>
      <c r="P278" s="20"/>
      <c r="Q278" s="20"/>
      <c r="R278" s="20"/>
      <c r="S278" s="20"/>
      <c r="T278" s="20"/>
      <c r="U278" s="20"/>
      <c r="V278" s="20"/>
      <c r="W278" s="20"/>
      <c r="X278" s="20"/>
    </row>
    <row r="279" ht="12.0" customHeight="1">
      <c r="A279" s="20"/>
      <c r="B279" s="20"/>
      <c r="C279" s="20"/>
      <c r="D279" s="35"/>
      <c r="E279" s="20"/>
      <c r="F279" s="20"/>
      <c r="G279" s="20"/>
      <c r="H279" s="20"/>
      <c r="I279" s="20"/>
      <c r="J279" s="20"/>
      <c r="K279" s="20"/>
      <c r="L279" s="20"/>
      <c r="M279" s="20"/>
      <c r="N279" s="20"/>
      <c r="O279" s="20"/>
      <c r="P279" s="20"/>
      <c r="Q279" s="20"/>
      <c r="R279" s="20"/>
      <c r="S279" s="20"/>
      <c r="T279" s="20"/>
      <c r="U279" s="20"/>
      <c r="V279" s="20"/>
      <c r="W279" s="20"/>
      <c r="X279" s="20"/>
    </row>
    <row r="280" ht="12.0" customHeight="1">
      <c r="A280" s="20"/>
      <c r="B280" s="20"/>
      <c r="C280" s="20"/>
      <c r="D280" s="35"/>
      <c r="E280" s="20"/>
      <c r="F280" s="20"/>
      <c r="G280" s="20"/>
      <c r="H280" s="20"/>
      <c r="I280" s="20"/>
      <c r="J280" s="20"/>
      <c r="K280" s="20"/>
      <c r="L280" s="20"/>
      <c r="M280" s="20"/>
      <c r="N280" s="20"/>
      <c r="O280" s="20"/>
      <c r="P280" s="20"/>
      <c r="Q280" s="20"/>
      <c r="R280" s="20"/>
      <c r="S280" s="20"/>
      <c r="T280" s="20"/>
      <c r="U280" s="20"/>
      <c r="V280" s="20"/>
      <c r="W280" s="20"/>
      <c r="X280" s="20"/>
    </row>
    <row r="281" ht="12.0" customHeight="1">
      <c r="A281" s="20"/>
      <c r="B281" s="20"/>
      <c r="C281" s="20"/>
      <c r="D281" s="35"/>
      <c r="E281" s="20"/>
      <c r="F281" s="20"/>
      <c r="G281" s="20"/>
      <c r="H281" s="20"/>
      <c r="I281" s="20"/>
      <c r="J281" s="20"/>
      <c r="K281" s="20"/>
      <c r="L281" s="20"/>
      <c r="M281" s="20"/>
      <c r="N281" s="20"/>
      <c r="O281" s="20"/>
      <c r="P281" s="20"/>
      <c r="Q281" s="20"/>
      <c r="R281" s="20"/>
      <c r="S281" s="20"/>
      <c r="T281" s="20"/>
      <c r="U281" s="20"/>
      <c r="V281" s="20"/>
      <c r="W281" s="20"/>
      <c r="X281" s="20"/>
    </row>
    <row r="282" ht="12.0" customHeight="1">
      <c r="A282" s="20"/>
      <c r="B282" s="20"/>
      <c r="C282" s="20"/>
      <c r="D282" s="35"/>
      <c r="E282" s="20"/>
      <c r="F282" s="20"/>
      <c r="G282" s="20"/>
      <c r="H282" s="20"/>
      <c r="I282" s="20"/>
      <c r="J282" s="20"/>
      <c r="K282" s="20"/>
      <c r="L282" s="20"/>
      <c r="M282" s="20"/>
      <c r="N282" s="20"/>
      <c r="O282" s="20"/>
      <c r="P282" s="20"/>
      <c r="Q282" s="20"/>
      <c r="R282" s="20"/>
      <c r="S282" s="20"/>
      <c r="T282" s="20"/>
      <c r="U282" s="20"/>
      <c r="V282" s="20"/>
      <c r="W282" s="20"/>
      <c r="X282" s="20"/>
    </row>
    <row r="283" ht="12.0" customHeight="1">
      <c r="A283" s="20"/>
      <c r="B283" s="20"/>
      <c r="C283" s="20"/>
      <c r="D283" s="35"/>
      <c r="E283" s="20"/>
      <c r="F283" s="20"/>
      <c r="G283" s="20"/>
      <c r="H283" s="20"/>
      <c r="I283" s="20"/>
      <c r="J283" s="20"/>
      <c r="K283" s="20"/>
      <c r="L283" s="20"/>
      <c r="M283" s="20"/>
      <c r="N283" s="20"/>
      <c r="O283" s="20"/>
      <c r="P283" s="20"/>
      <c r="Q283" s="20"/>
      <c r="R283" s="20"/>
      <c r="S283" s="20"/>
      <c r="T283" s="20"/>
      <c r="U283" s="20"/>
      <c r="V283" s="20"/>
      <c r="W283" s="20"/>
      <c r="X283" s="20"/>
    </row>
    <row r="284" ht="12.0" customHeight="1">
      <c r="A284" s="20"/>
      <c r="B284" s="20"/>
      <c r="C284" s="20"/>
      <c r="D284" s="35"/>
      <c r="E284" s="20"/>
      <c r="F284" s="20"/>
      <c r="G284" s="20"/>
      <c r="H284" s="20"/>
      <c r="I284" s="20"/>
      <c r="J284" s="20"/>
      <c r="K284" s="20"/>
      <c r="L284" s="20"/>
      <c r="M284" s="20"/>
      <c r="N284" s="20"/>
      <c r="O284" s="20"/>
      <c r="P284" s="20"/>
      <c r="Q284" s="20"/>
      <c r="R284" s="20"/>
      <c r="S284" s="20"/>
      <c r="T284" s="20"/>
      <c r="U284" s="20"/>
      <c r="V284" s="20"/>
      <c r="W284" s="20"/>
      <c r="X284" s="20"/>
    </row>
    <row r="285" ht="12.0" customHeight="1">
      <c r="A285" s="20"/>
      <c r="B285" s="20"/>
      <c r="C285" s="20"/>
      <c r="D285" s="35"/>
      <c r="E285" s="20"/>
      <c r="F285" s="20"/>
      <c r="G285" s="20"/>
      <c r="H285" s="20"/>
      <c r="I285" s="20"/>
      <c r="J285" s="20"/>
      <c r="K285" s="20"/>
      <c r="L285" s="20"/>
      <c r="M285" s="20"/>
      <c r="N285" s="20"/>
      <c r="O285" s="20"/>
      <c r="P285" s="20"/>
      <c r="Q285" s="20"/>
      <c r="R285" s="20"/>
      <c r="S285" s="20"/>
      <c r="T285" s="20"/>
      <c r="U285" s="20"/>
      <c r="V285" s="20"/>
      <c r="W285" s="20"/>
      <c r="X285" s="20"/>
    </row>
    <row r="286" ht="12.0" customHeight="1">
      <c r="A286" s="20"/>
      <c r="B286" s="20"/>
      <c r="C286" s="20"/>
      <c r="D286" s="35"/>
      <c r="E286" s="20"/>
      <c r="F286" s="20"/>
      <c r="G286" s="20"/>
      <c r="H286" s="20"/>
      <c r="I286" s="20"/>
      <c r="J286" s="20"/>
      <c r="K286" s="20"/>
      <c r="L286" s="20"/>
      <c r="M286" s="20"/>
      <c r="N286" s="20"/>
      <c r="O286" s="20"/>
      <c r="P286" s="20"/>
      <c r="Q286" s="20"/>
      <c r="R286" s="20"/>
      <c r="S286" s="20"/>
      <c r="T286" s="20"/>
      <c r="U286" s="20"/>
      <c r="V286" s="20"/>
      <c r="W286" s="20"/>
      <c r="X286" s="20"/>
    </row>
    <row r="287" ht="12.0" customHeight="1">
      <c r="A287" s="20"/>
      <c r="B287" s="20"/>
      <c r="C287" s="20"/>
      <c r="D287" s="35"/>
      <c r="E287" s="20"/>
      <c r="F287" s="20"/>
      <c r="G287" s="20"/>
      <c r="H287" s="20"/>
      <c r="I287" s="20"/>
      <c r="J287" s="20"/>
      <c r="K287" s="20"/>
      <c r="L287" s="20"/>
      <c r="M287" s="20"/>
      <c r="N287" s="20"/>
      <c r="O287" s="20"/>
      <c r="P287" s="20"/>
      <c r="Q287" s="20"/>
      <c r="R287" s="20"/>
      <c r="S287" s="20"/>
      <c r="T287" s="20"/>
      <c r="U287" s="20"/>
      <c r="V287" s="20"/>
      <c r="W287" s="20"/>
      <c r="X287" s="20"/>
    </row>
    <row r="288" ht="12.0" customHeight="1">
      <c r="A288" s="20"/>
      <c r="B288" s="20"/>
      <c r="C288" s="20"/>
      <c r="D288" s="35"/>
      <c r="E288" s="20"/>
      <c r="F288" s="20"/>
      <c r="G288" s="20"/>
      <c r="H288" s="20"/>
      <c r="I288" s="20"/>
      <c r="J288" s="20"/>
      <c r="K288" s="20"/>
      <c r="L288" s="20"/>
      <c r="M288" s="20"/>
      <c r="N288" s="20"/>
      <c r="O288" s="20"/>
      <c r="P288" s="20"/>
      <c r="Q288" s="20"/>
      <c r="R288" s="20"/>
      <c r="S288" s="20"/>
      <c r="T288" s="20"/>
      <c r="U288" s="20"/>
      <c r="V288" s="20"/>
      <c r="W288" s="20"/>
      <c r="X288" s="20"/>
    </row>
    <row r="289" ht="12.0" customHeight="1">
      <c r="A289" s="20"/>
      <c r="B289" s="20"/>
      <c r="C289" s="20"/>
      <c r="D289" s="35"/>
      <c r="E289" s="20"/>
      <c r="F289" s="20"/>
      <c r="G289" s="20"/>
      <c r="H289" s="20"/>
      <c r="I289" s="20"/>
      <c r="J289" s="20"/>
      <c r="K289" s="20"/>
      <c r="L289" s="20"/>
      <c r="M289" s="20"/>
      <c r="N289" s="20"/>
      <c r="O289" s="20"/>
      <c r="P289" s="20"/>
      <c r="Q289" s="20"/>
      <c r="R289" s="20"/>
      <c r="S289" s="20"/>
      <c r="T289" s="20"/>
      <c r="U289" s="20"/>
      <c r="V289" s="20"/>
      <c r="W289" s="20"/>
      <c r="X289" s="20"/>
    </row>
    <row r="290" ht="12.0" customHeight="1">
      <c r="A290" s="20"/>
      <c r="B290" s="20"/>
      <c r="C290" s="20"/>
      <c r="D290" s="35"/>
      <c r="E290" s="20"/>
      <c r="F290" s="20"/>
      <c r="G290" s="20"/>
      <c r="H290" s="20"/>
      <c r="I290" s="20"/>
      <c r="J290" s="20"/>
      <c r="K290" s="20"/>
      <c r="L290" s="20"/>
      <c r="M290" s="20"/>
      <c r="N290" s="20"/>
      <c r="O290" s="20"/>
      <c r="P290" s="20"/>
      <c r="Q290" s="20"/>
      <c r="R290" s="20"/>
      <c r="S290" s="20"/>
      <c r="T290" s="20"/>
      <c r="U290" s="20"/>
      <c r="V290" s="20"/>
      <c r="W290" s="20"/>
      <c r="X290" s="20"/>
    </row>
    <row r="291" ht="12.0" customHeight="1">
      <c r="A291" s="20"/>
      <c r="B291" s="20"/>
      <c r="C291" s="20"/>
      <c r="D291" s="35"/>
      <c r="E291" s="20"/>
      <c r="F291" s="20"/>
      <c r="G291" s="20"/>
      <c r="H291" s="20"/>
      <c r="I291" s="20"/>
      <c r="J291" s="20"/>
      <c r="K291" s="20"/>
      <c r="L291" s="20"/>
      <c r="M291" s="20"/>
      <c r="N291" s="20"/>
      <c r="O291" s="20"/>
      <c r="P291" s="20"/>
      <c r="Q291" s="20"/>
      <c r="R291" s="20"/>
      <c r="S291" s="20"/>
      <c r="T291" s="20"/>
      <c r="U291" s="20"/>
      <c r="V291" s="20"/>
      <c r="W291" s="20"/>
      <c r="X291" s="20"/>
    </row>
    <row r="292" ht="12.0" customHeight="1">
      <c r="A292" s="20"/>
      <c r="B292" s="20"/>
      <c r="C292" s="20"/>
      <c r="D292" s="35"/>
      <c r="E292" s="20"/>
      <c r="F292" s="20"/>
      <c r="G292" s="20"/>
      <c r="H292" s="20"/>
      <c r="I292" s="20"/>
      <c r="J292" s="20"/>
      <c r="K292" s="20"/>
      <c r="L292" s="20"/>
      <c r="M292" s="20"/>
      <c r="N292" s="20"/>
      <c r="O292" s="20"/>
      <c r="P292" s="20"/>
      <c r="Q292" s="20"/>
      <c r="R292" s="20"/>
      <c r="S292" s="20"/>
      <c r="T292" s="20"/>
      <c r="U292" s="20"/>
      <c r="V292" s="20"/>
      <c r="W292" s="20"/>
      <c r="X292" s="20"/>
    </row>
    <row r="293" ht="12.0" customHeight="1">
      <c r="A293" s="20"/>
      <c r="B293" s="20"/>
      <c r="C293" s="20"/>
      <c r="D293" s="35"/>
      <c r="E293" s="20"/>
      <c r="F293" s="20"/>
      <c r="G293" s="20"/>
      <c r="H293" s="20"/>
      <c r="I293" s="20"/>
      <c r="J293" s="20"/>
      <c r="K293" s="20"/>
      <c r="L293" s="20"/>
      <c r="M293" s="20"/>
      <c r="N293" s="20"/>
      <c r="O293" s="20"/>
      <c r="P293" s="20"/>
      <c r="Q293" s="20"/>
      <c r="R293" s="20"/>
      <c r="S293" s="20"/>
      <c r="T293" s="20"/>
      <c r="U293" s="20"/>
      <c r="V293" s="20"/>
      <c r="W293" s="20"/>
      <c r="X293" s="20"/>
    </row>
    <row r="294" ht="12.0" customHeight="1">
      <c r="A294" s="20"/>
      <c r="B294" s="20"/>
      <c r="C294" s="20"/>
      <c r="D294" s="35"/>
      <c r="E294" s="20"/>
      <c r="F294" s="20"/>
      <c r="G294" s="20"/>
      <c r="H294" s="20"/>
      <c r="I294" s="20"/>
      <c r="J294" s="20"/>
      <c r="K294" s="20"/>
      <c r="L294" s="20"/>
      <c r="M294" s="20"/>
      <c r="N294" s="20"/>
      <c r="O294" s="20"/>
      <c r="P294" s="20"/>
      <c r="Q294" s="20"/>
      <c r="R294" s="20"/>
      <c r="S294" s="20"/>
      <c r="T294" s="20"/>
      <c r="U294" s="20"/>
      <c r="V294" s="20"/>
      <c r="W294" s="20"/>
      <c r="X294" s="20"/>
    </row>
    <row r="295" ht="12.0" customHeight="1">
      <c r="A295" s="20"/>
      <c r="B295" s="20"/>
      <c r="C295" s="20"/>
      <c r="D295" s="35"/>
      <c r="E295" s="20"/>
      <c r="F295" s="20"/>
      <c r="G295" s="20"/>
      <c r="H295" s="20"/>
      <c r="I295" s="20"/>
      <c r="J295" s="20"/>
      <c r="K295" s="20"/>
      <c r="L295" s="20"/>
      <c r="M295" s="20"/>
      <c r="N295" s="20"/>
      <c r="O295" s="20"/>
      <c r="P295" s="20"/>
      <c r="Q295" s="20"/>
      <c r="R295" s="20"/>
      <c r="S295" s="20"/>
      <c r="T295" s="20"/>
      <c r="U295" s="20"/>
      <c r="V295" s="20"/>
      <c r="W295" s="20"/>
      <c r="X295" s="20"/>
    </row>
    <row r="296" ht="12.0" customHeight="1">
      <c r="A296" s="20"/>
      <c r="B296" s="20"/>
      <c r="C296" s="20"/>
      <c r="D296" s="35"/>
      <c r="E296" s="20"/>
      <c r="F296" s="20"/>
      <c r="G296" s="20"/>
      <c r="H296" s="20"/>
      <c r="I296" s="20"/>
      <c r="J296" s="20"/>
      <c r="K296" s="20"/>
      <c r="L296" s="20"/>
      <c r="M296" s="20"/>
      <c r="N296" s="20"/>
      <c r="O296" s="20"/>
      <c r="P296" s="20"/>
      <c r="Q296" s="20"/>
      <c r="R296" s="20"/>
      <c r="S296" s="20"/>
      <c r="T296" s="20"/>
      <c r="U296" s="20"/>
      <c r="V296" s="20"/>
      <c r="W296" s="20"/>
      <c r="X296" s="20"/>
    </row>
    <row r="297" ht="12.0" customHeight="1">
      <c r="A297" s="20"/>
      <c r="B297" s="20"/>
      <c r="C297" s="20"/>
      <c r="D297" s="35"/>
      <c r="E297" s="20"/>
      <c r="F297" s="20"/>
      <c r="G297" s="20"/>
      <c r="H297" s="20"/>
      <c r="I297" s="20"/>
      <c r="J297" s="20"/>
      <c r="K297" s="20"/>
      <c r="L297" s="20"/>
      <c r="M297" s="20"/>
      <c r="N297" s="20"/>
      <c r="O297" s="20"/>
      <c r="P297" s="20"/>
      <c r="Q297" s="20"/>
      <c r="R297" s="20"/>
      <c r="S297" s="20"/>
      <c r="T297" s="20"/>
      <c r="U297" s="20"/>
      <c r="V297" s="20"/>
      <c r="W297" s="20"/>
      <c r="X297" s="20"/>
    </row>
    <row r="298" ht="12.0" customHeight="1">
      <c r="A298" s="20"/>
      <c r="B298" s="20"/>
      <c r="C298" s="20"/>
      <c r="D298" s="35"/>
      <c r="E298" s="20"/>
      <c r="F298" s="20"/>
      <c r="G298" s="20"/>
      <c r="H298" s="20"/>
      <c r="I298" s="20"/>
      <c r="J298" s="20"/>
      <c r="K298" s="20"/>
      <c r="L298" s="20"/>
      <c r="M298" s="20"/>
      <c r="N298" s="20"/>
      <c r="O298" s="20"/>
      <c r="P298" s="20"/>
      <c r="Q298" s="20"/>
      <c r="R298" s="20"/>
      <c r="S298" s="20"/>
      <c r="T298" s="20"/>
      <c r="U298" s="20"/>
      <c r="V298" s="20"/>
      <c r="W298" s="20"/>
      <c r="X298" s="20"/>
    </row>
    <row r="299" ht="12.0" customHeight="1">
      <c r="A299" s="20"/>
      <c r="B299" s="20"/>
      <c r="C299" s="20"/>
      <c r="D299" s="35"/>
      <c r="E299" s="20"/>
      <c r="F299" s="20"/>
      <c r="G299" s="20"/>
      <c r="H299" s="20"/>
      <c r="I299" s="20"/>
      <c r="J299" s="20"/>
      <c r="K299" s="20"/>
      <c r="L299" s="20"/>
      <c r="M299" s="20"/>
      <c r="N299" s="20"/>
      <c r="O299" s="20"/>
      <c r="P299" s="20"/>
      <c r="Q299" s="20"/>
      <c r="R299" s="20"/>
      <c r="S299" s="20"/>
      <c r="T299" s="20"/>
      <c r="U299" s="20"/>
      <c r="V299" s="20"/>
      <c r="W299" s="20"/>
      <c r="X299" s="20"/>
    </row>
    <row r="300" ht="12.0" customHeight="1">
      <c r="A300" s="20"/>
      <c r="B300" s="20"/>
      <c r="C300" s="20"/>
      <c r="D300" s="35"/>
      <c r="E300" s="20"/>
      <c r="F300" s="20"/>
      <c r="G300" s="20"/>
      <c r="H300" s="20"/>
      <c r="I300" s="20"/>
      <c r="J300" s="20"/>
      <c r="K300" s="20"/>
      <c r="L300" s="20"/>
      <c r="M300" s="20"/>
      <c r="N300" s="20"/>
      <c r="O300" s="20"/>
      <c r="P300" s="20"/>
      <c r="Q300" s="20"/>
      <c r="R300" s="20"/>
      <c r="S300" s="20"/>
      <c r="T300" s="20"/>
      <c r="U300" s="20"/>
      <c r="V300" s="20"/>
      <c r="W300" s="20"/>
      <c r="X300" s="20"/>
    </row>
    <row r="301" ht="12.0" customHeight="1">
      <c r="A301" s="20"/>
      <c r="B301" s="20"/>
      <c r="C301" s="20"/>
      <c r="D301" s="35"/>
      <c r="E301" s="20"/>
      <c r="F301" s="20"/>
      <c r="G301" s="20"/>
      <c r="H301" s="20"/>
      <c r="I301" s="20"/>
      <c r="J301" s="20"/>
      <c r="K301" s="20"/>
      <c r="L301" s="20"/>
      <c r="M301" s="20"/>
      <c r="N301" s="20"/>
      <c r="O301" s="20"/>
      <c r="P301" s="20"/>
      <c r="Q301" s="20"/>
      <c r="R301" s="20"/>
      <c r="S301" s="20"/>
      <c r="T301" s="20"/>
      <c r="U301" s="20"/>
      <c r="V301" s="20"/>
      <c r="W301" s="20"/>
      <c r="X301" s="20"/>
    </row>
    <row r="302" ht="12.0" customHeight="1">
      <c r="A302" s="20"/>
      <c r="B302" s="20"/>
      <c r="C302" s="20"/>
      <c r="D302" s="35"/>
      <c r="E302" s="20"/>
      <c r="F302" s="20"/>
      <c r="G302" s="20"/>
      <c r="H302" s="20"/>
      <c r="I302" s="20"/>
      <c r="J302" s="20"/>
      <c r="K302" s="20"/>
      <c r="L302" s="20"/>
      <c r="M302" s="20"/>
      <c r="N302" s="20"/>
      <c r="O302" s="20"/>
      <c r="P302" s="20"/>
      <c r="Q302" s="20"/>
      <c r="R302" s="20"/>
      <c r="S302" s="20"/>
      <c r="T302" s="20"/>
      <c r="U302" s="20"/>
      <c r="V302" s="20"/>
      <c r="W302" s="20"/>
      <c r="X302" s="20"/>
    </row>
    <row r="303" ht="12.0" customHeight="1">
      <c r="A303" s="20"/>
      <c r="B303" s="20"/>
      <c r="C303" s="20"/>
      <c r="D303" s="35"/>
      <c r="E303" s="20"/>
      <c r="F303" s="20"/>
      <c r="G303" s="20"/>
      <c r="H303" s="20"/>
      <c r="I303" s="20"/>
      <c r="J303" s="20"/>
      <c r="K303" s="20"/>
      <c r="L303" s="20"/>
      <c r="M303" s="20"/>
      <c r="N303" s="20"/>
      <c r="O303" s="20"/>
      <c r="P303" s="20"/>
      <c r="Q303" s="20"/>
      <c r="R303" s="20"/>
      <c r="S303" s="20"/>
      <c r="T303" s="20"/>
      <c r="U303" s="20"/>
      <c r="V303" s="20"/>
      <c r="W303" s="20"/>
      <c r="X303" s="20"/>
    </row>
    <row r="304" ht="12.0" customHeight="1">
      <c r="A304" s="20"/>
      <c r="B304" s="20"/>
      <c r="C304" s="20"/>
      <c r="D304" s="35"/>
      <c r="E304" s="20"/>
      <c r="F304" s="20"/>
      <c r="G304" s="20"/>
      <c r="H304" s="20"/>
      <c r="I304" s="20"/>
      <c r="J304" s="20"/>
      <c r="K304" s="20"/>
      <c r="L304" s="20"/>
      <c r="M304" s="20"/>
      <c r="N304" s="20"/>
      <c r="O304" s="20"/>
      <c r="P304" s="20"/>
      <c r="Q304" s="20"/>
      <c r="R304" s="20"/>
      <c r="S304" s="20"/>
      <c r="T304" s="20"/>
      <c r="U304" s="20"/>
      <c r="V304" s="20"/>
      <c r="W304" s="20"/>
      <c r="X304" s="20"/>
    </row>
    <row r="305" ht="12.0" customHeight="1">
      <c r="A305" s="20"/>
      <c r="B305" s="20"/>
      <c r="C305" s="20"/>
      <c r="D305" s="35"/>
      <c r="E305" s="20"/>
      <c r="F305" s="20"/>
      <c r="G305" s="20"/>
      <c r="H305" s="20"/>
      <c r="I305" s="20"/>
      <c r="J305" s="20"/>
      <c r="K305" s="20"/>
      <c r="L305" s="20"/>
      <c r="M305" s="20"/>
      <c r="N305" s="20"/>
      <c r="O305" s="20"/>
      <c r="P305" s="20"/>
      <c r="Q305" s="20"/>
      <c r="R305" s="20"/>
      <c r="S305" s="20"/>
      <c r="T305" s="20"/>
      <c r="U305" s="20"/>
      <c r="V305" s="20"/>
      <c r="W305" s="20"/>
      <c r="X305" s="20"/>
    </row>
    <row r="306" ht="12.0" customHeight="1">
      <c r="A306" s="20"/>
      <c r="B306" s="20"/>
      <c r="C306" s="20"/>
      <c r="D306" s="35"/>
      <c r="E306" s="20"/>
      <c r="F306" s="20"/>
      <c r="G306" s="20"/>
      <c r="H306" s="20"/>
      <c r="I306" s="20"/>
      <c r="J306" s="20"/>
      <c r="K306" s="20"/>
      <c r="L306" s="20"/>
      <c r="M306" s="20"/>
      <c r="N306" s="20"/>
      <c r="O306" s="20"/>
      <c r="P306" s="20"/>
      <c r="Q306" s="20"/>
      <c r="R306" s="20"/>
      <c r="S306" s="20"/>
      <c r="T306" s="20"/>
      <c r="U306" s="20"/>
      <c r="V306" s="20"/>
      <c r="W306" s="20"/>
      <c r="X306" s="20"/>
    </row>
    <row r="307" ht="12.0" customHeight="1">
      <c r="A307" s="20"/>
      <c r="B307" s="20"/>
      <c r="C307" s="20"/>
      <c r="D307" s="35"/>
      <c r="E307" s="20"/>
      <c r="F307" s="20"/>
      <c r="G307" s="20"/>
      <c r="H307" s="20"/>
      <c r="I307" s="20"/>
      <c r="J307" s="20"/>
      <c r="K307" s="20"/>
      <c r="L307" s="20"/>
      <c r="M307" s="20"/>
      <c r="N307" s="20"/>
      <c r="O307" s="20"/>
      <c r="P307" s="20"/>
      <c r="Q307" s="20"/>
      <c r="R307" s="20"/>
      <c r="S307" s="20"/>
      <c r="T307" s="20"/>
      <c r="U307" s="20"/>
      <c r="V307" s="20"/>
      <c r="W307" s="20"/>
      <c r="X307" s="20"/>
    </row>
    <row r="308" ht="12.0" customHeight="1">
      <c r="A308" s="20"/>
      <c r="B308" s="20"/>
      <c r="C308" s="20"/>
      <c r="D308" s="35"/>
      <c r="E308" s="20"/>
      <c r="F308" s="20"/>
      <c r="G308" s="20"/>
      <c r="H308" s="20"/>
      <c r="I308" s="20"/>
      <c r="J308" s="20"/>
      <c r="K308" s="20"/>
      <c r="L308" s="20"/>
      <c r="M308" s="20"/>
      <c r="N308" s="20"/>
      <c r="O308" s="20"/>
      <c r="P308" s="20"/>
      <c r="Q308" s="20"/>
      <c r="R308" s="20"/>
      <c r="S308" s="20"/>
      <c r="T308" s="20"/>
      <c r="U308" s="20"/>
      <c r="V308" s="20"/>
      <c r="W308" s="20"/>
      <c r="X308" s="20"/>
    </row>
    <row r="309" ht="12.0" customHeight="1">
      <c r="A309" s="20"/>
      <c r="B309" s="20"/>
      <c r="C309" s="20"/>
      <c r="D309" s="35"/>
      <c r="E309" s="20"/>
      <c r="F309" s="20"/>
      <c r="G309" s="20"/>
      <c r="H309" s="20"/>
      <c r="I309" s="20"/>
      <c r="J309" s="20"/>
      <c r="K309" s="20"/>
      <c r="L309" s="20"/>
      <c r="M309" s="20"/>
      <c r="N309" s="20"/>
      <c r="O309" s="20"/>
      <c r="P309" s="20"/>
      <c r="Q309" s="20"/>
      <c r="R309" s="20"/>
      <c r="S309" s="20"/>
      <c r="T309" s="20"/>
      <c r="U309" s="20"/>
      <c r="V309" s="20"/>
      <c r="W309" s="20"/>
      <c r="X309" s="20"/>
    </row>
    <row r="310" ht="12.0" customHeight="1">
      <c r="A310" s="20"/>
      <c r="B310" s="20"/>
      <c r="C310" s="20"/>
      <c r="D310" s="35"/>
      <c r="E310" s="20"/>
      <c r="F310" s="20"/>
      <c r="G310" s="20"/>
      <c r="H310" s="20"/>
      <c r="I310" s="20"/>
      <c r="J310" s="20"/>
      <c r="K310" s="20"/>
      <c r="L310" s="20"/>
      <c r="M310" s="20"/>
      <c r="N310" s="20"/>
      <c r="O310" s="20"/>
      <c r="P310" s="20"/>
      <c r="Q310" s="20"/>
      <c r="R310" s="20"/>
      <c r="S310" s="20"/>
      <c r="T310" s="20"/>
      <c r="U310" s="20"/>
      <c r="V310" s="20"/>
      <c r="W310" s="20"/>
      <c r="X310" s="20"/>
    </row>
    <row r="311" ht="12.0" customHeight="1">
      <c r="A311" s="20"/>
      <c r="B311" s="20"/>
      <c r="C311" s="20"/>
      <c r="D311" s="35"/>
      <c r="E311" s="20"/>
      <c r="F311" s="20"/>
      <c r="G311" s="20"/>
      <c r="H311" s="20"/>
      <c r="I311" s="20"/>
      <c r="J311" s="20"/>
      <c r="K311" s="20"/>
      <c r="L311" s="20"/>
      <c r="M311" s="20"/>
      <c r="N311" s="20"/>
      <c r="O311" s="20"/>
      <c r="P311" s="20"/>
      <c r="Q311" s="20"/>
      <c r="R311" s="20"/>
      <c r="S311" s="20"/>
      <c r="T311" s="20"/>
      <c r="U311" s="20"/>
      <c r="V311" s="20"/>
      <c r="W311" s="20"/>
      <c r="X311" s="20"/>
    </row>
    <row r="312" ht="12.0" customHeight="1">
      <c r="A312" s="20"/>
      <c r="B312" s="20"/>
      <c r="C312" s="20"/>
      <c r="D312" s="35"/>
      <c r="E312" s="20"/>
      <c r="F312" s="20"/>
      <c r="G312" s="20"/>
      <c r="H312" s="20"/>
      <c r="I312" s="20"/>
      <c r="J312" s="20"/>
      <c r="K312" s="20"/>
      <c r="L312" s="20"/>
      <c r="M312" s="20"/>
      <c r="N312" s="20"/>
      <c r="O312" s="20"/>
      <c r="P312" s="20"/>
      <c r="Q312" s="20"/>
      <c r="R312" s="20"/>
      <c r="S312" s="20"/>
      <c r="T312" s="20"/>
      <c r="U312" s="20"/>
      <c r="V312" s="20"/>
      <c r="W312" s="20"/>
      <c r="X312" s="20"/>
    </row>
    <row r="313" ht="12.0" customHeight="1">
      <c r="A313" s="20"/>
      <c r="B313" s="20"/>
      <c r="C313" s="20"/>
      <c r="D313" s="35"/>
      <c r="E313" s="20"/>
      <c r="F313" s="20"/>
      <c r="G313" s="20"/>
      <c r="H313" s="20"/>
      <c r="I313" s="20"/>
      <c r="J313" s="20"/>
      <c r="K313" s="20"/>
      <c r="L313" s="20"/>
      <c r="M313" s="20"/>
      <c r="N313" s="20"/>
      <c r="O313" s="20"/>
      <c r="P313" s="20"/>
      <c r="Q313" s="20"/>
      <c r="R313" s="20"/>
      <c r="S313" s="20"/>
      <c r="T313" s="20"/>
      <c r="U313" s="20"/>
      <c r="V313" s="20"/>
      <c r="W313" s="20"/>
      <c r="X313" s="20"/>
    </row>
    <row r="314" ht="12.0" customHeight="1">
      <c r="A314" s="20"/>
      <c r="B314" s="20"/>
      <c r="C314" s="20"/>
      <c r="D314" s="35"/>
      <c r="E314" s="20"/>
      <c r="F314" s="20"/>
      <c r="G314" s="20"/>
      <c r="H314" s="20"/>
      <c r="I314" s="20"/>
      <c r="J314" s="20"/>
      <c r="K314" s="20"/>
      <c r="L314" s="20"/>
      <c r="M314" s="20"/>
      <c r="N314" s="20"/>
      <c r="O314" s="20"/>
      <c r="P314" s="20"/>
      <c r="Q314" s="20"/>
      <c r="R314" s="20"/>
      <c r="S314" s="20"/>
      <c r="T314" s="20"/>
      <c r="U314" s="20"/>
      <c r="V314" s="20"/>
      <c r="W314" s="20"/>
      <c r="X314" s="20"/>
    </row>
    <row r="315" ht="12.0" customHeight="1">
      <c r="A315" s="20"/>
      <c r="B315" s="20"/>
      <c r="C315" s="20"/>
      <c r="D315" s="35"/>
      <c r="E315" s="20"/>
      <c r="F315" s="20"/>
      <c r="G315" s="20"/>
      <c r="H315" s="20"/>
      <c r="I315" s="20"/>
      <c r="J315" s="20"/>
      <c r="K315" s="20"/>
      <c r="L315" s="20"/>
      <c r="M315" s="20"/>
      <c r="N315" s="20"/>
      <c r="O315" s="20"/>
      <c r="P315" s="20"/>
      <c r="Q315" s="20"/>
      <c r="R315" s="20"/>
      <c r="S315" s="20"/>
      <c r="T315" s="20"/>
      <c r="U315" s="20"/>
      <c r="V315" s="20"/>
      <c r="W315" s="20"/>
      <c r="X315" s="20"/>
    </row>
    <row r="316" ht="12.0" customHeight="1">
      <c r="A316" s="20"/>
      <c r="B316" s="20"/>
      <c r="C316" s="20"/>
      <c r="D316" s="35"/>
      <c r="E316" s="20"/>
      <c r="F316" s="20"/>
      <c r="G316" s="20"/>
      <c r="H316" s="20"/>
      <c r="I316" s="20"/>
      <c r="J316" s="20"/>
      <c r="K316" s="20"/>
      <c r="L316" s="20"/>
      <c r="M316" s="20"/>
      <c r="N316" s="20"/>
      <c r="O316" s="20"/>
      <c r="P316" s="20"/>
      <c r="Q316" s="20"/>
      <c r="R316" s="20"/>
      <c r="S316" s="20"/>
      <c r="T316" s="20"/>
      <c r="U316" s="20"/>
      <c r="V316" s="20"/>
      <c r="W316" s="20"/>
      <c r="X316" s="20"/>
    </row>
    <row r="317" ht="12.0" customHeight="1">
      <c r="A317" s="20"/>
      <c r="B317" s="20"/>
      <c r="C317" s="20"/>
      <c r="D317" s="35"/>
      <c r="E317" s="20"/>
      <c r="F317" s="20"/>
      <c r="G317" s="20"/>
      <c r="H317" s="20"/>
      <c r="I317" s="20"/>
      <c r="J317" s="20"/>
      <c r="K317" s="20"/>
      <c r="L317" s="20"/>
      <c r="M317" s="20"/>
      <c r="N317" s="20"/>
      <c r="O317" s="20"/>
      <c r="P317" s="20"/>
      <c r="Q317" s="20"/>
      <c r="R317" s="20"/>
      <c r="S317" s="20"/>
      <c r="T317" s="20"/>
      <c r="U317" s="20"/>
      <c r="V317" s="20"/>
      <c r="W317" s="20"/>
      <c r="X317" s="20"/>
    </row>
    <row r="318" ht="12.0" customHeight="1">
      <c r="A318" s="20"/>
      <c r="B318" s="20"/>
      <c r="C318" s="20"/>
      <c r="D318" s="35"/>
      <c r="E318" s="20"/>
      <c r="F318" s="20"/>
      <c r="G318" s="20"/>
      <c r="H318" s="20"/>
      <c r="I318" s="20"/>
      <c r="J318" s="20"/>
      <c r="K318" s="20"/>
      <c r="L318" s="20"/>
      <c r="M318" s="20"/>
      <c r="N318" s="20"/>
      <c r="O318" s="20"/>
      <c r="P318" s="20"/>
      <c r="Q318" s="20"/>
      <c r="R318" s="20"/>
      <c r="S318" s="20"/>
      <c r="T318" s="20"/>
      <c r="U318" s="20"/>
      <c r="V318" s="20"/>
      <c r="W318" s="20"/>
      <c r="X318" s="20"/>
    </row>
    <row r="319" ht="12.0" customHeight="1">
      <c r="A319" s="20"/>
      <c r="B319" s="20"/>
      <c r="C319" s="20"/>
      <c r="D319" s="35"/>
      <c r="E319" s="20"/>
      <c r="F319" s="20"/>
      <c r="G319" s="20"/>
      <c r="H319" s="20"/>
      <c r="I319" s="20"/>
      <c r="J319" s="20"/>
      <c r="K319" s="20"/>
      <c r="L319" s="20"/>
      <c r="M319" s="20"/>
      <c r="N319" s="20"/>
      <c r="O319" s="20"/>
      <c r="P319" s="20"/>
      <c r="Q319" s="20"/>
      <c r="R319" s="20"/>
      <c r="S319" s="20"/>
      <c r="T319" s="20"/>
      <c r="U319" s="20"/>
      <c r="V319" s="20"/>
      <c r="W319" s="20"/>
      <c r="X319" s="20"/>
    </row>
    <row r="320" ht="12.0" customHeight="1">
      <c r="A320" s="20"/>
      <c r="B320" s="20"/>
      <c r="C320" s="20"/>
      <c r="D320" s="35"/>
      <c r="E320" s="20"/>
      <c r="F320" s="20"/>
      <c r="G320" s="20"/>
      <c r="H320" s="20"/>
      <c r="I320" s="20"/>
      <c r="J320" s="20"/>
      <c r="K320" s="20"/>
      <c r="L320" s="20"/>
      <c r="M320" s="20"/>
      <c r="N320" s="20"/>
      <c r="O320" s="20"/>
      <c r="P320" s="20"/>
      <c r="Q320" s="20"/>
      <c r="R320" s="20"/>
      <c r="S320" s="20"/>
      <c r="T320" s="20"/>
      <c r="U320" s="20"/>
      <c r="V320" s="20"/>
      <c r="W320" s="20"/>
      <c r="X320" s="20"/>
    </row>
    <row r="321" ht="12.0" customHeight="1">
      <c r="A321" s="20"/>
      <c r="B321" s="20"/>
      <c r="C321" s="20"/>
      <c r="D321" s="35"/>
      <c r="E321" s="20"/>
      <c r="F321" s="20"/>
      <c r="G321" s="20"/>
      <c r="H321" s="20"/>
      <c r="I321" s="20"/>
      <c r="J321" s="20"/>
      <c r="K321" s="20"/>
      <c r="L321" s="20"/>
      <c r="M321" s="20"/>
      <c r="N321" s="20"/>
      <c r="O321" s="20"/>
      <c r="P321" s="20"/>
      <c r="Q321" s="20"/>
      <c r="R321" s="20"/>
      <c r="S321" s="20"/>
      <c r="T321" s="20"/>
      <c r="U321" s="20"/>
      <c r="V321" s="20"/>
      <c r="W321" s="20"/>
      <c r="X321" s="20"/>
    </row>
    <row r="322" ht="12.0" customHeight="1">
      <c r="A322" s="20"/>
      <c r="B322" s="20"/>
      <c r="C322" s="20"/>
      <c r="D322" s="35"/>
      <c r="E322" s="20"/>
      <c r="F322" s="20"/>
      <c r="G322" s="20"/>
      <c r="H322" s="20"/>
      <c r="I322" s="20"/>
      <c r="J322" s="20"/>
      <c r="K322" s="20"/>
      <c r="L322" s="20"/>
      <c r="M322" s="20"/>
      <c r="N322" s="20"/>
      <c r="O322" s="20"/>
      <c r="P322" s="20"/>
      <c r="Q322" s="20"/>
      <c r="R322" s="20"/>
      <c r="S322" s="20"/>
      <c r="T322" s="20"/>
      <c r="U322" s="20"/>
      <c r="V322" s="20"/>
      <c r="W322" s="20"/>
      <c r="X322" s="20"/>
    </row>
    <row r="323" ht="12.0" customHeight="1">
      <c r="A323" s="20"/>
      <c r="B323" s="20"/>
      <c r="C323" s="20"/>
      <c r="D323" s="35"/>
      <c r="E323" s="20"/>
      <c r="F323" s="20"/>
      <c r="G323" s="20"/>
      <c r="H323" s="20"/>
      <c r="I323" s="20"/>
      <c r="J323" s="20"/>
      <c r="K323" s="20"/>
      <c r="L323" s="20"/>
      <c r="M323" s="20"/>
      <c r="N323" s="20"/>
      <c r="O323" s="20"/>
      <c r="P323" s="20"/>
      <c r="Q323" s="20"/>
      <c r="R323" s="20"/>
      <c r="S323" s="20"/>
      <c r="T323" s="20"/>
      <c r="U323" s="20"/>
      <c r="V323" s="20"/>
      <c r="W323" s="20"/>
      <c r="X323" s="20"/>
    </row>
    <row r="324" ht="12.0" customHeight="1">
      <c r="A324" s="20"/>
      <c r="B324" s="20"/>
      <c r="C324" s="20"/>
      <c r="D324" s="35"/>
      <c r="E324" s="20"/>
      <c r="F324" s="20"/>
      <c r="G324" s="20"/>
      <c r="H324" s="20"/>
      <c r="I324" s="20"/>
      <c r="J324" s="20"/>
      <c r="K324" s="20"/>
      <c r="L324" s="20"/>
      <c r="M324" s="20"/>
      <c r="N324" s="20"/>
      <c r="O324" s="20"/>
      <c r="P324" s="20"/>
      <c r="Q324" s="20"/>
      <c r="R324" s="20"/>
      <c r="S324" s="20"/>
      <c r="T324" s="20"/>
      <c r="U324" s="20"/>
      <c r="V324" s="20"/>
      <c r="W324" s="20"/>
      <c r="X324" s="20"/>
    </row>
    <row r="325" ht="12.0" customHeight="1">
      <c r="A325" s="20"/>
      <c r="B325" s="20"/>
      <c r="C325" s="20"/>
      <c r="D325" s="35"/>
      <c r="E325" s="20"/>
      <c r="F325" s="20"/>
      <c r="G325" s="20"/>
      <c r="H325" s="20"/>
      <c r="I325" s="20"/>
      <c r="J325" s="20"/>
      <c r="K325" s="20"/>
      <c r="L325" s="20"/>
      <c r="M325" s="20"/>
      <c r="N325" s="20"/>
      <c r="O325" s="20"/>
      <c r="P325" s="20"/>
      <c r="Q325" s="20"/>
      <c r="R325" s="20"/>
      <c r="S325" s="20"/>
      <c r="T325" s="20"/>
      <c r="U325" s="20"/>
      <c r="V325" s="20"/>
      <c r="W325" s="20"/>
      <c r="X325" s="20"/>
    </row>
    <row r="326" ht="12.0" customHeight="1">
      <c r="A326" s="20"/>
      <c r="B326" s="20"/>
      <c r="C326" s="20"/>
      <c r="D326" s="35"/>
      <c r="E326" s="20"/>
      <c r="F326" s="20"/>
      <c r="G326" s="20"/>
      <c r="H326" s="20"/>
      <c r="I326" s="20"/>
      <c r="J326" s="20"/>
      <c r="K326" s="20"/>
      <c r="L326" s="20"/>
      <c r="M326" s="20"/>
      <c r="N326" s="20"/>
      <c r="O326" s="20"/>
      <c r="P326" s="20"/>
      <c r="Q326" s="20"/>
      <c r="R326" s="20"/>
      <c r="S326" s="20"/>
      <c r="T326" s="20"/>
      <c r="U326" s="20"/>
      <c r="V326" s="20"/>
      <c r="W326" s="20"/>
      <c r="X326" s="20"/>
    </row>
    <row r="327" ht="12.0" customHeight="1">
      <c r="A327" s="20"/>
      <c r="B327" s="20"/>
      <c r="C327" s="20"/>
      <c r="D327" s="35"/>
      <c r="E327" s="20"/>
      <c r="F327" s="20"/>
      <c r="G327" s="20"/>
      <c r="H327" s="20"/>
      <c r="I327" s="20"/>
      <c r="J327" s="20"/>
      <c r="K327" s="20"/>
      <c r="L327" s="20"/>
      <c r="M327" s="20"/>
      <c r="N327" s="20"/>
      <c r="O327" s="20"/>
      <c r="P327" s="20"/>
      <c r="Q327" s="20"/>
      <c r="R327" s="20"/>
      <c r="S327" s="20"/>
      <c r="T327" s="20"/>
      <c r="U327" s="20"/>
      <c r="V327" s="20"/>
      <c r="W327" s="20"/>
      <c r="X327" s="20"/>
    </row>
    <row r="328" ht="12.0" customHeight="1">
      <c r="A328" s="20"/>
      <c r="B328" s="20"/>
      <c r="C328" s="20"/>
      <c r="D328" s="35"/>
      <c r="E328" s="20"/>
      <c r="F328" s="20"/>
      <c r="G328" s="20"/>
      <c r="H328" s="20"/>
      <c r="I328" s="20"/>
      <c r="J328" s="20"/>
      <c r="K328" s="20"/>
      <c r="L328" s="20"/>
      <c r="M328" s="20"/>
      <c r="N328" s="20"/>
      <c r="O328" s="20"/>
      <c r="P328" s="20"/>
      <c r="Q328" s="20"/>
      <c r="R328" s="20"/>
      <c r="S328" s="20"/>
      <c r="T328" s="20"/>
      <c r="U328" s="20"/>
      <c r="V328" s="20"/>
      <c r="W328" s="20"/>
      <c r="X328" s="20"/>
    </row>
    <row r="329" ht="12.0" customHeight="1">
      <c r="A329" s="20"/>
      <c r="B329" s="20"/>
      <c r="C329" s="20"/>
      <c r="D329" s="35"/>
      <c r="E329" s="20"/>
      <c r="F329" s="20"/>
      <c r="G329" s="20"/>
      <c r="H329" s="20"/>
      <c r="I329" s="20"/>
      <c r="J329" s="20"/>
      <c r="K329" s="20"/>
      <c r="L329" s="20"/>
      <c r="M329" s="20"/>
      <c r="N329" s="20"/>
      <c r="O329" s="20"/>
      <c r="P329" s="20"/>
      <c r="Q329" s="20"/>
      <c r="R329" s="20"/>
      <c r="S329" s="20"/>
      <c r="T329" s="20"/>
      <c r="U329" s="20"/>
      <c r="V329" s="20"/>
      <c r="W329" s="20"/>
      <c r="X329" s="20"/>
    </row>
    <row r="330" ht="12.0" customHeight="1">
      <c r="A330" s="20"/>
      <c r="B330" s="20"/>
      <c r="C330" s="20"/>
      <c r="D330" s="35"/>
      <c r="E330" s="20"/>
      <c r="F330" s="20"/>
      <c r="G330" s="20"/>
      <c r="H330" s="20"/>
      <c r="I330" s="20"/>
      <c r="J330" s="20"/>
      <c r="K330" s="20"/>
      <c r="L330" s="20"/>
      <c r="M330" s="20"/>
      <c r="N330" s="20"/>
      <c r="O330" s="20"/>
      <c r="P330" s="20"/>
      <c r="Q330" s="20"/>
      <c r="R330" s="20"/>
      <c r="S330" s="20"/>
      <c r="T330" s="20"/>
      <c r="U330" s="20"/>
      <c r="V330" s="20"/>
      <c r="W330" s="20"/>
      <c r="X330" s="20"/>
    </row>
    <row r="331" ht="12.0" customHeight="1">
      <c r="A331" s="20"/>
      <c r="B331" s="20"/>
      <c r="C331" s="20"/>
      <c r="D331" s="35"/>
      <c r="E331" s="20"/>
      <c r="F331" s="20"/>
      <c r="G331" s="20"/>
      <c r="H331" s="20"/>
      <c r="I331" s="20"/>
      <c r="J331" s="20"/>
      <c r="K331" s="20"/>
      <c r="L331" s="20"/>
      <c r="M331" s="20"/>
      <c r="N331" s="20"/>
      <c r="O331" s="20"/>
      <c r="P331" s="20"/>
      <c r="Q331" s="20"/>
      <c r="R331" s="20"/>
      <c r="S331" s="20"/>
      <c r="T331" s="20"/>
      <c r="U331" s="20"/>
      <c r="V331" s="20"/>
      <c r="W331" s="20"/>
      <c r="X331" s="20"/>
    </row>
    <row r="332" ht="12.0" customHeight="1">
      <c r="A332" s="20"/>
      <c r="B332" s="20"/>
      <c r="C332" s="20"/>
      <c r="D332" s="35"/>
      <c r="E332" s="20"/>
      <c r="F332" s="20"/>
      <c r="G332" s="20"/>
      <c r="H332" s="20"/>
      <c r="I332" s="20"/>
      <c r="J332" s="20"/>
      <c r="K332" s="20"/>
      <c r="L332" s="20"/>
      <c r="M332" s="20"/>
      <c r="N332" s="20"/>
      <c r="O332" s="20"/>
      <c r="P332" s="20"/>
      <c r="Q332" s="20"/>
      <c r="R332" s="20"/>
      <c r="S332" s="20"/>
      <c r="T332" s="20"/>
      <c r="U332" s="20"/>
      <c r="V332" s="20"/>
      <c r="W332" s="20"/>
      <c r="X332" s="20"/>
    </row>
    <row r="333" ht="12.0" customHeight="1">
      <c r="A333" s="20"/>
      <c r="B333" s="20"/>
      <c r="C333" s="20"/>
      <c r="D333" s="35"/>
      <c r="E333" s="20"/>
      <c r="F333" s="20"/>
      <c r="G333" s="20"/>
      <c r="H333" s="20"/>
      <c r="I333" s="20"/>
      <c r="J333" s="20"/>
      <c r="K333" s="20"/>
      <c r="L333" s="20"/>
      <c r="M333" s="20"/>
      <c r="N333" s="20"/>
      <c r="O333" s="20"/>
      <c r="P333" s="20"/>
      <c r="Q333" s="20"/>
      <c r="R333" s="20"/>
      <c r="S333" s="20"/>
      <c r="T333" s="20"/>
      <c r="U333" s="20"/>
      <c r="V333" s="20"/>
      <c r="W333" s="20"/>
      <c r="X333" s="20"/>
    </row>
    <row r="334" ht="12.0" customHeight="1">
      <c r="A334" s="20"/>
      <c r="B334" s="20"/>
      <c r="C334" s="20"/>
      <c r="D334" s="35"/>
      <c r="E334" s="20"/>
      <c r="F334" s="20"/>
      <c r="G334" s="20"/>
      <c r="H334" s="20"/>
      <c r="I334" s="20"/>
      <c r="J334" s="20"/>
      <c r="K334" s="20"/>
      <c r="L334" s="20"/>
      <c r="M334" s="20"/>
      <c r="N334" s="20"/>
      <c r="O334" s="20"/>
      <c r="P334" s="20"/>
      <c r="Q334" s="20"/>
      <c r="R334" s="20"/>
      <c r="S334" s="20"/>
      <c r="T334" s="20"/>
      <c r="U334" s="20"/>
      <c r="V334" s="20"/>
      <c r="W334" s="20"/>
      <c r="X334" s="20"/>
    </row>
    <row r="335" ht="12.0" customHeight="1">
      <c r="A335" s="20"/>
      <c r="B335" s="20"/>
      <c r="C335" s="20"/>
      <c r="D335" s="35"/>
      <c r="E335" s="20"/>
      <c r="F335" s="20"/>
      <c r="G335" s="20"/>
      <c r="H335" s="20"/>
      <c r="I335" s="20"/>
      <c r="J335" s="20"/>
      <c r="K335" s="20"/>
      <c r="L335" s="20"/>
      <c r="M335" s="20"/>
      <c r="N335" s="20"/>
      <c r="O335" s="20"/>
      <c r="P335" s="20"/>
      <c r="Q335" s="20"/>
      <c r="R335" s="20"/>
      <c r="S335" s="20"/>
      <c r="T335" s="20"/>
      <c r="U335" s="20"/>
      <c r="V335" s="20"/>
      <c r="W335" s="20"/>
      <c r="X335" s="20"/>
    </row>
    <row r="336" ht="12.0" customHeight="1">
      <c r="A336" s="20"/>
      <c r="B336" s="20"/>
      <c r="C336" s="20"/>
      <c r="D336" s="35"/>
      <c r="E336" s="20"/>
      <c r="F336" s="20"/>
      <c r="G336" s="20"/>
      <c r="H336" s="20"/>
      <c r="I336" s="20"/>
      <c r="J336" s="20"/>
      <c r="K336" s="20"/>
      <c r="L336" s="20"/>
      <c r="M336" s="20"/>
      <c r="N336" s="20"/>
      <c r="O336" s="20"/>
      <c r="P336" s="20"/>
      <c r="Q336" s="20"/>
      <c r="R336" s="20"/>
      <c r="S336" s="20"/>
      <c r="T336" s="20"/>
      <c r="U336" s="20"/>
      <c r="V336" s="20"/>
      <c r="W336" s="20"/>
      <c r="X336" s="20"/>
    </row>
    <row r="337" ht="12.0" customHeight="1">
      <c r="A337" s="20"/>
      <c r="B337" s="20"/>
      <c r="C337" s="20"/>
      <c r="D337" s="35"/>
      <c r="E337" s="20"/>
      <c r="F337" s="20"/>
      <c r="G337" s="20"/>
      <c r="H337" s="20"/>
      <c r="I337" s="20"/>
      <c r="J337" s="20"/>
      <c r="K337" s="20"/>
      <c r="L337" s="20"/>
      <c r="M337" s="20"/>
      <c r="N337" s="20"/>
      <c r="O337" s="20"/>
      <c r="P337" s="20"/>
      <c r="Q337" s="20"/>
      <c r="R337" s="20"/>
      <c r="S337" s="20"/>
      <c r="T337" s="20"/>
      <c r="U337" s="20"/>
      <c r="V337" s="20"/>
      <c r="W337" s="20"/>
      <c r="X337" s="20"/>
    </row>
    <row r="338" ht="12.0" customHeight="1">
      <c r="A338" s="20"/>
      <c r="B338" s="20"/>
      <c r="C338" s="20"/>
      <c r="D338" s="35"/>
      <c r="E338" s="20"/>
      <c r="F338" s="20"/>
      <c r="G338" s="20"/>
      <c r="H338" s="20"/>
      <c r="I338" s="20"/>
      <c r="J338" s="20"/>
      <c r="K338" s="20"/>
      <c r="L338" s="20"/>
      <c r="M338" s="20"/>
      <c r="N338" s="20"/>
      <c r="O338" s="20"/>
      <c r="P338" s="20"/>
      <c r="Q338" s="20"/>
      <c r="R338" s="20"/>
      <c r="S338" s="20"/>
      <c r="T338" s="20"/>
      <c r="U338" s="20"/>
      <c r="V338" s="20"/>
      <c r="W338" s="20"/>
      <c r="X338" s="20"/>
    </row>
    <row r="339" ht="12.0" customHeight="1">
      <c r="A339" s="20"/>
      <c r="B339" s="20"/>
      <c r="C339" s="20"/>
      <c r="D339" s="35"/>
      <c r="E339" s="20"/>
      <c r="F339" s="20"/>
      <c r="G339" s="20"/>
      <c r="H339" s="20"/>
      <c r="I339" s="20"/>
      <c r="J339" s="20"/>
      <c r="K339" s="20"/>
      <c r="L339" s="20"/>
      <c r="M339" s="20"/>
      <c r="N339" s="20"/>
      <c r="O339" s="20"/>
      <c r="P339" s="20"/>
      <c r="Q339" s="20"/>
      <c r="R339" s="20"/>
      <c r="S339" s="20"/>
      <c r="T339" s="20"/>
      <c r="U339" s="20"/>
      <c r="V339" s="20"/>
      <c r="W339" s="20"/>
      <c r="X339" s="20"/>
    </row>
    <row r="340" ht="12.0" customHeight="1">
      <c r="A340" s="20"/>
      <c r="B340" s="20"/>
      <c r="C340" s="20"/>
      <c r="D340" s="35"/>
      <c r="E340" s="20"/>
      <c r="F340" s="20"/>
      <c r="G340" s="20"/>
      <c r="H340" s="20"/>
      <c r="I340" s="20"/>
      <c r="J340" s="20"/>
      <c r="K340" s="20"/>
      <c r="L340" s="20"/>
      <c r="M340" s="20"/>
      <c r="N340" s="20"/>
      <c r="O340" s="20"/>
      <c r="P340" s="20"/>
      <c r="Q340" s="20"/>
      <c r="R340" s="20"/>
      <c r="S340" s="20"/>
      <c r="T340" s="20"/>
      <c r="U340" s="20"/>
      <c r="V340" s="20"/>
      <c r="W340" s="20"/>
      <c r="X340" s="20"/>
    </row>
    <row r="341" ht="12.0" customHeight="1">
      <c r="A341" s="20"/>
      <c r="B341" s="20"/>
      <c r="C341" s="20"/>
      <c r="D341" s="35"/>
      <c r="E341" s="20"/>
      <c r="F341" s="20"/>
      <c r="G341" s="20"/>
      <c r="H341" s="20"/>
      <c r="I341" s="20"/>
      <c r="J341" s="20"/>
      <c r="K341" s="20"/>
      <c r="L341" s="20"/>
      <c r="M341" s="20"/>
      <c r="N341" s="20"/>
      <c r="O341" s="20"/>
      <c r="P341" s="20"/>
      <c r="Q341" s="20"/>
      <c r="R341" s="20"/>
      <c r="S341" s="20"/>
      <c r="T341" s="20"/>
      <c r="U341" s="20"/>
      <c r="V341" s="20"/>
      <c r="W341" s="20"/>
      <c r="X341" s="20"/>
    </row>
    <row r="342" ht="12.0" customHeight="1">
      <c r="A342" s="20"/>
      <c r="B342" s="20"/>
      <c r="C342" s="20"/>
      <c r="D342" s="35"/>
      <c r="E342" s="20"/>
      <c r="F342" s="20"/>
      <c r="G342" s="20"/>
      <c r="H342" s="20"/>
      <c r="I342" s="20"/>
      <c r="J342" s="20"/>
      <c r="K342" s="20"/>
      <c r="L342" s="20"/>
      <c r="M342" s="20"/>
      <c r="N342" s="20"/>
      <c r="O342" s="20"/>
      <c r="P342" s="20"/>
      <c r="Q342" s="20"/>
      <c r="R342" s="20"/>
      <c r="S342" s="20"/>
      <c r="T342" s="20"/>
      <c r="U342" s="20"/>
      <c r="V342" s="20"/>
      <c r="W342" s="20"/>
      <c r="X342" s="20"/>
    </row>
    <row r="343" ht="12.0" customHeight="1">
      <c r="A343" s="20"/>
      <c r="B343" s="20"/>
      <c r="C343" s="20"/>
      <c r="D343" s="35"/>
      <c r="E343" s="20"/>
      <c r="F343" s="20"/>
      <c r="G343" s="20"/>
      <c r="H343" s="20"/>
      <c r="I343" s="20"/>
      <c r="J343" s="20"/>
      <c r="K343" s="20"/>
      <c r="L343" s="20"/>
      <c r="M343" s="20"/>
      <c r="N343" s="20"/>
      <c r="O343" s="20"/>
      <c r="P343" s="20"/>
      <c r="Q343" s="20"/>
      <c r="R343" s="20"/>
      <c r="S343" s="20"/>
      <c r="T343" s="20"/>
      <c r="U343" s="20"/>
      <c r="V343" s="20"/>
      <c r="W343" s="20"/>
      <c r="X343" s="20"/>
    </row>
    <row r="344" ht="12.0" customHeight="1">
      <c r="A344" s="20"/>
      <c r="B344" s="20"/>
      <c r="C344" s="20"/>
      <c r="D344" s="35"/>
      <c r="E344" s="20"/>
      <c r="F344" s="20"/>
      <c r="G344" s="20"/>
      <c r="H344" s="20"/>
      <c r="I344" s="20"/>
      <c r="J344" s="20"/>
      <c r="K344" s="20"/>
      <c r="L344" s="20"/>
      <c r="M344" s="20"/>
      <c r="N344" s="20"/>
      <c r="O344" s="20"/>
      <c r="P344" s="20"/>
      <c r="Q344" s="20"/>
      <c r="R344" s="20"/>
      <c r="S344" s="20"/>
      <c r="T344" s="20"/>
      <c r="U344" s="20"/>
      <c r="V344" s="20"/>
      <c r="W344" s="20"/>
      <c r="X344" s="20"/>
    </row>
    <row r="345" ht="12.0" customHeight="1">
      <c r="A345" s="20"/>
      <c r="B345" s="20"/>
      <c r="C345" s="20"/>
      <c r="D345" s="35"/>
      <c r="E345" s="20"/>
      <c r="F345" s="20"/>
      <c r="G345" s="20"/>
      <c r="H345" s="20"/>
      <c r="I345" s="20"/>
      <c r="J345" s="20"/>
      <c r="K345" s="20"/>
      <c r="L345" s="20"/>
      <c r="M345" s="20"/>
      <c r="N345" s="20"/>
      <c r="O345" s="20"/>
      <c r="P345" s="20"/>
      <c r="Q345" s="20"/>
      <c r="R345" s="20"/>
      <c r="S345" s="20"/>
      <c r="T345" s="20"/>
      <c r="U345" s="20"/>
      <c r="V345" s="20"/>
      <c r="W345" s="20"/>
      <c r="X345" s="20"/>
    </row>
    <row r="346" ht="12.0" customHeight="1">
      <c r="A346" s="20"/>
      <c r="B346" s="20"/>
      <c r="C346" s="20"/>
      <c r="D346" s="35"/>
      <c r="E346" s="20"/>
      <c r="F346" s="20"/>
      <c r="G346" s="20"/>
      <c r="H346" s="20"/>
      <c r="I346" s="20"/>
      <c r="J346" s="20"/>
      <c r="K346" s="20"/>
      <c r="L346" s="20"/>
      <c r="M346" s="20"/>
      <c r="N346" s="20"/>
      <c r="O346" s="20"/>
      <c r="P346" s="20"/>
      <c r="Q346" s="20"/>
      <c r="R346" s="20"/>
      <c r="S346" s="20"/>
      <c r="T346" s="20"/>
      <c r="U346" s="20"/>
      <c r="V346" s="20"/>
      <c r="W346" s="20"/>
      <c r="X346" s="20"/>
    </row>
    <row r="347" ht="12.0" customHeight="1">
      <c r="A347" s="20"/>
      <c r="B347" s="20"/>
      <c r="C347" s="20"/>
      <c r="D347" s="35"/>
      <c r="E347" s="20"/>
      <c r="F347" s="20"/>
      <c r="G347" s="20"/>
      <c r="H347" s="20"/>
      <c r="I347" s="20"/>
      <c r="J347" s="20"/>
      <c r="K347" s="20"/>
      <c r="L347" s="20"/>
      <c r="M347" s="20"/>
      <c r="N347" s="20"/>
      <c r="O347" s="20"/>
      <c r="P347" s="20"/>
      <c r="Q347" s="20"/>
      <c r="R347" s="20"/>
      <c r="S347" s="20"/>
      <c r="T347" s="20"/>
      <c r="U347" s="20"/>
      <c r="V347" s="20"/>
      <c r="W347" s="20"/>
      <c r="X347" s="20"/>
    </row>
    <row r="348" ht="12.0" customHeight="1">
      <c r="A348" s="20"/>
      <c r="B348" s="20"/>
      <c r="C348" s="20"/>
      <c r="D348" s="35"/>
      <c r="E348" s="20"/>
      <c r="F348" s="20"/>
      <c r="G348" s="20"/>
      <c r="H348" s="20"/>
      <c r="I348" s="20"/>
      <c r="J348" s="20"/>
      <c r="K348" s="20"/>
      <c r="L348" s="20"/>
      <c r="M348" s="20"/>
      <c r="N348" s="20"/>
      <c r="O348" s="20"/>
      <c r="P348" s="20"/>
      <c r="Q348" s="20"/>
      <c r="R348" s="20"/>
      <c r="S348" s="20"/>
      <c r="T348" s="20"/>
      <c r="U348" s="20"/>
      <c r="V348" s="20"/>
      <c r="W348" s="20"/>
      <c r="X348" s="20"/>
    </row>
    <row r="349" ht="12.0" customHeight="1">
      <c r="A349" s="20"/>
      <c r="B349" s="20"/>
      <c r="C349" s="20"/>
      <c r="D349" s="35"/>
      <c r="E349" s="20"/>
      <c r="F349" s="20"/>
      <c r="G349" s="20"/>
      <c r="H349" s="20"/>
      <c r="I349" s="20"/>
      <c r="J349" s="20"/>
      <c r="K349" s="20"/>
      <c r="L349" s="20"/>
      <c r="M349" s="20"/>
      <c r="N349" s="20"/>
      <c r="O349" s="20"/>
      <c r="P349" s="20"/>
      <c r="Q349" s="20"/>
      <c r="R349" s="20"/>
      <c r="S349" s="20"/>
      <c r="T349" s="20"/>
      <c r="U349" s="20"/>
      <c r="V349" s="20"/>
      <c r="W349" s="20"/>
      <c r="X349" s="20"/>
    </row>
    <row r="350" ht="12.0" customHeight="1">
      <c r="A350" s="20"/>
      <c r="B350" s="20"/>
      <c r="C350" s="20"/>
      <c r="D350" s="35"/>
      <c r="E350" s="20"/>
      <c r="F350" s="20"/>
      <c r="G350" s="20"/>
      <c r="H350" s="20"/>
      <c r="I350" s="20"/>
      <c r="J350" s="20"/>
      <c r="K350" s="20"/>
      <c r="L350" s="20"/>
      <c r="M350" s="20"/>
      <c r="N350" s="20"/>
      <c r="O350" s="20"/>
      <c r="P350" s="20"/>
      <c r="Q350" s="20"/>
      <c r="R350" s="20"/>
      <c r="S350" s="20"/>
      <c r="T350" s="20"/>
      <c r="U350" s="20"/>
      <c r="V350" s="20"/>
      <c r="W350" s="20"/>
      <c r="X350" s="20"/>
    </row>
    <row r="351" ht="12.0" customHeight="1">
      <c r="A351" s="20"/>
      <c r="B351" s="20"/>
      <c r="C351" s="20"/>
      <c r="D351" s="35"/>
      <c r="E351" s="20"/>
      <c r="F351" s="20"/>
      <c r="G351" s="20"/>
      <c r="H351" s="20"/>
      <c r="I351" s="20"/>
      <c r="J351" s="20"/>
      <c r="K351" s="20"/>
      <c r="L351" s="20"/>
      <c r="M351" s="20"/>
      <c r="N351" s="20"/>
      <c r="O351" s="20"/>
      <c r="P351" s="20"/>
      <c r="Q351" s="20"/>
      <c r="R351" s="20"/>
      <c r="S351" s="20"/>
      <c r="T351" s="20"/>
      <c r="U351" s="20"/>
      <c r="V351" s="20"/>
      <c r="W351" s="20"/>
      <c r="X351" s="20"/>
    </row>
    <row r="352" ht="12.0" customHeight="1">
      <c r="A352" s="20"/>
      <c r="B352" s="20"/>
      <c r="C352" s="20"/>
      <c r="D352" s="35"/>
      <c r="E352" s="20"/>
      <c r="F352" s="20"/>
      <c r="G352" s="20"/>
      <c r="H352" s="20"/>
      <c r="I352" s="20"/>
      <c r="J352" s="20"/>
      <c r="K352" s="20"/>
      <c r="L352" s="20"/>
      <c r="M352" s="20"/>
      <c r="N352" s="20"/>
      <c r="O352" s="20"/>
      <c r="P352" s="20"/>
      <c r="Q352" s="20"/>
      <c r="R352" s="20"/>
      <c r="S352" s="20"/>
      <c r="T352" s="20"/>
      <c r="U352" s="20"/>
      <c r="V352" s="20"/>
      <c r="W352" s="20"/>
      <c r="X352" s="20"/>
    </row>
    <row r="353" ht="12.0" customHeight="1">
      <c r="A353" s="20"/>
      <c r="B353" s="20"/>
      <c r="C353" s="20"/>
      <c r="D353" s="35"/>
      <c r="E353" s="20"/>
      <c r="F353" s="20"/>
      <c r="G353" s="20"/>
      <c r="H353" s="20"/>
      <c r="I353" s="20"/>
      <c r="J353" s="20"/>
      <c r="K353" s="20"/>
      <c r="L353" s="20"/>
      <c r="M353" s="20"/>
      <c r="N353" s="20"/>
      <c r="O353" s="20"/>
      <c r="P353" s="20"/>
      <c r="Q353" s="20"/>
      <c r="R353" s="20"/>
      <c r="S353" s="20"/>
      <c r="T353" s="20"/>
      <c r="U353" s="20"/>
      <c r="V353" s="20"/>
      <c r="W353" s="20"/>
      <c r="X353" s="20"/>
    </row>
    <row r="354" ht="12.0" customHeight="1">
      <c r="A354" s="20"/>
      <c r="B354" s="20"/>
      <c r="C354" s="20"/>
      <c r="D354" s="35"/>
      <c r="E354" s="20"/>
      <c r="F354" s="20"/>
      <c r="G354" s="20"/>
      <c r="H354" s="20"/>
      <c r="I354" s="20"/>
      <c r="J354" s="20"/>
      <c r="K354" s="20"/>
      <c r="L354" s="20"/>
      <c r="M354" s="20"/>
      <c r="N354" s="20"/>
      <c r="O354" s="20"/>
      <c r="P354" s="20"/>
      <c r="Q354" s="20"/>
      <c r="R354" s="20"/>
      <c r="S354" s="20"/>
      <c r="T354" s="20"/>
      <c r="U354" s="20"/>
      <c r="V354" s="20"/>
      <c r="W354" s="20"/>
      <c r="X354" s="20"/>
    </row>
    <row r="355" ht="12.0" customHeight="1">
      <c r="A355" s="20"/>
      <c r="B355" s="20"/>
      <c r="C355" s="20"/>
      <c r="D355" s="35"/>
      <c r="E355" s="20"/>
      <c r="F355" s="20"/>
      <c r="G355" s="20"/>
      <c r="H355" s="20"/>
      <c r="I355" s="20"/>
      <c r="J355" s="20"/>
      <c r="K355" s="20"/>
      <c r="L355" s="20"/>
      <c r="M355" s="20"/>
      <c r="N355" s="20"/>
      <c r="O355" s="20"/>
      <c r="P355" s="20"/>
      <c r="Q355" s="20"/>
      <c r="R355" s="20"/>
      <c r="S355" s="20"/>
      <c r="T355" s="20"/>
      <c r="U355" s="20"/>
      <c r="V355" s="20"/>
      <c r="W355" s="20"/>
      <c r="X355" s="20"/>
    </row>
    <row r="356" ht="12.0" customHeight="1">
      <c r="A356" s="20"/>
      <c r="B356" s="20"/>
      <c r="C356" s="20"/>
      <c r="D356" s="35"/>
      <c r="E356" s="20"/>
      <c r="F356" s="20"/>
      <c r="G356" s="20"/>
      <c r="H356" s="20"/>
      <c r="I356" s="20"/>
      <c r="J356" s="20"/>
      <c r="K356" s="20"/>
      <c r="L356" s="20"/>
      <c r="M356" s="20"/>
      <c r="N356" s="20"/>
      <c r="O356" s="20"/>
      <c r="P356" s="20"/>
      <c r="Q356" s="20"/>
      <c r="R356" s="20"/>
      <c r="S356" s="20"/>
      <c r="T356" s="20"/>
      <c r="U356" s="20"/>
      <c r="V356" s="20"/>
      <c r="W356" s="20"/>
      <c r="X356" s="20"/>
    </row>
    <row r="357" ht="12.0" customHeight="1">
      <c r="A357" s="20"/>
      <c r="B357" s="20"/>
      <c r="C357" s="20"/>
      <c r="D357" s="35"/>
      <c r="E357" s="20"/>
      <c r="F357" s="20"/>
      <c r="G357" s="20"/>
      <c r="H357" s="20"/>
      <c r="I357" s="20"/>
      <c r="J357" s="20"/>
      <c r="K357" s="20"/>
      <c r="L357" s="20"/>
      <c r="M357" s="20"/>
      <c r="N357" s="20"/>
      <c r="O357" s="20"/>
      <c r="P357" s="20"/>
      <c r="Q357" s="20"/>
      <c r="R357" s="20"/>
      <c r="S357" s="20"/>
      <c r="T357" s="20"/>
      <c r="U357" s="20"/>
      <c r="V357" s="20"/>
      <c r="W357" s="20"/>
      <c r="X357" s="20"/>
    </row>
    <row r="358" ht="12.0" customHeight="1">
      <c r="A358" s="20"/>
      <c r="B358" s="20"/>
      <c r="C358" s="20"/>
      <c r="D358" s="35"/>
      <c r="E358" s="20"/>
      <c r="F358" s="20"/>
      <c r="G358" s="20"/>
      <c r="H358" s="20"/>
      <c r="I358" s="20"/>
      <c r="J358" s="20"/>
      <c r="K358" s="20"/>
      <c r="L358" s="20"/>
      <c r="M358" s="20"/>
      <c r="N358" s="20"/>
      <c r="O358" s="20"/>
      <c r="P358" s="20"/>
      <c r="Q358" s="20"/>
      <c r="R358" s="20"/>
      <c r="S358" s="20"/>
      <c r="T358" s="20"/>
      <c r="U358" s="20"/>
      <c r="V358" s="20"/>
      <c r="W358" s="20"/>
      <c r="X358" s="20"/>
    </row>
    <row r="359" ht="12.0" customHeight="1">
      <c r="A359" s="20"/>
      <c r="B359" s="20"/>
      <c r="C359" s="20"/>
      <c r="D359" s="35"/>
      <c r="E359" s="20"/>
      <c r="F359" s="20"/>
      <c r="G359" s="20"/>
      <c r="H359" s="20"/>
      <c r="I359" s="20"/>
      <c r="J359" s="20"/>
      <c r="K359" s="20"/>
      <c r="L359" s="20"/>
      <c r="M359" s="20"/>
      <c r="N359" s="20"/>
      <c r="O359" s="20"/>
      <c r="P359" s="20"/>
      <c r="Q359" s="20"/>
      <c r="R359" s="20"/>
      <c r="S359" s="20"/>
      <c r="T359" s="20"/>
      <c r="U359" s="20"/>
      <c r="V359" s="20"/>
      <c r="W359" s="20"/>
      <c r="X359" s="20"/>
    </row>
    <row r="360" ht="12.0" customHeight="1">
      <c r="A360" s="20"/>
      <c r="B360" s="20"/>
      <c r="C360" s="20"/>
      <c r="D360" s="35"/>
      <c r="E360" s="20"/>
      <c r="F360" s="20"/>
      <c r="G360" s="20"/>
      <c r="H360" s="20"/>
      <c r="I360" s="20"/>
      <c r="J360" s="20"/>
      <c r="K360" s="20"/>
      <c r="L360" s="20"/>
      <c r="M360" s="20"/>
      <c r="N360" s="20"/>
      <c r="O360" s="20"/>
      <c r="P360" s="20"/>
      <c r="Q360" s="20"/>
      <c r="R360" s="20"/>
      <c r="S360" s="20"/>
      <c r="T360" s="20"/>
      <c r="U360" s="20"/>
      <c r="V360" s="20"/>
      <c r="W360" s="20"/>
      <c r="X360" s="20"/>
    </row>
    <row r="361" ht="12.0" customHeight="1">
      <c r="A361" s="20"/>
      <c r="B361" s="20"/>
      <c r="C361" s="20"/>
      <c r="D361" s="35"/>
      <c r="E361" s="20"/>
      <c r="F361" s="20"/>
      <c r="G361" s="20"/>
      <c r="H361" s="20"/>
      <c r="I361" s="20"/>
      <c r="J361" s="20"/>
      <c r="K361" s="20"/>
      <c r="L361" s="20"/>
      <c r="M361" s="20"/>
      <c r="N361" s="20"/>
      <c r="O361" s="20"/>
      <c r="P361" s="20"/>
      <c r="Q361" s="20"/>
      <c r="R361" s="20"/>
      <c r="S361" s="20"/>
      <c r="T361" s="20"/>
      <c r="U361" s="20"/>
      <c r="V361" s="20"/>
      <c r="W361" s="20"/>
      <c r="X361" s="20"/>
    </row>
    <row r="362" ht="12.0" customHeight="1">
      <c r="A362" s="20"/>
      <c r="B362" s="20"/>
      <c r="C362" s="20"/>
      <c r="D362" s="35"/>
      <c r="E362" s="20"/>
      <c r="F362" s="20"/>
      <c r="G362" s="20"/>
      <c r="H362" s="20"/>
      <c r="I362" s="20"/>
      <c r="J362" s="20"/>
      <c r="K362" s="20"/>
      <c r="L362" s="20"/>
      <c r="M362" s="20"/>
      <c r="N362" s="20"/>
      <c r="O362" s="20"/>
      <c r="P362" s="20"/>
      <c r="Q362" s="20"/>
      <c r="R362" s="20"/>
      <c r="S362" s="20"/>
      <c r="T362" s="20"/>
      <c r="U362" s="20"/>
      <c r="V362" s="20"/>
      <c r="W362" s="20"/>
      <c r="X362" s="20"/>
    </row>
    <row r="363" ht="12.0" customHeight="1">
      <c r="A363" s="20"/>
      <c r="B363" s="20"/>
      <c r="C363" s="20"/>
      <c r="D363" s="35"/>
      <c r="E363" s="20"/>
      <c r="F363" s="20"/>
      <c r="G363" s="20"/>
      <c r="H363" s="20"/>
      <c r="I363" s="20"/>
      <c r="J363" s="20"/>
      <c r="K363" s="20"/>
      <c r="L363" s="20"/>
      <c r="M363" s="20"/>
      <c r="N363" s="20"/>
      <c r="O363" s="20"/>
      <c r="P363" s="20"/>
      <c r="Q363" s="20"/>
      <c r="R363" s="20"/>
      <c r="S363" s="20"/>
      <c r="T363" s="20"/>
      <c r="U363" s="20"/>
      <c r="V363" s="20"/>
      <c r="W363" s="20"/>
      <c r="X363" s="20"/>
    </row>
    <row r="364" ht="12.0" customHeight="1">
      <c r="A364" s="20"/>
      <c r="B364" s="20"/>
      <c r="C364" s="20"/>
      <c r="D364" s="35"/>
      <c r="E364" s="20"/>
      <c r="F364" s="20"/>
      <c r="G364" s="20"/>
      <c r="H364" s="20"/>
      <c r="I364" s="20"/>
      <c r="J364" s="20"/>
      <c r="K364" s="20"/>
      <c r="L364" s="20"/>
      <c r="M364" s="20"/>
      <c r="N364" s="20"/>
      <c r="O364" s="20"/>
      <c r="P364" s="20"/>
      <c r="Q364" s="20"/>
      <c r="R364" s="20"/>
      <c r="S364" s="20"/>
      <c r="T364" s="20"/>
      <c r="U364" s="20"/>
      <c r="V364" s="20"/>
      <c r="W364" s="20"/>
      <c r="X364" s="20"/>
    </row>
    <row r="365" ht="12.0" customHeight="1">
      <c r="A365" s="20"/>
      <c r="B365" s="20"/>
      <c r="C365" s="20"/>
      <c r="D365" s="35"/>
      <c r="E365" s="20"/>
      <c r="F365" s="20"/>
      <c r="G365" s="20"/>
      <c r="H365" s="20"/>
      <c r="I365" s="20"/>
      <c r="J365" s="20"/>
      <c r="K365" s="20"/>
      <c r="L365" s="20"/>
      <c r="M365" s="20"/>
      <c r="N365" s="20"/>
      <c r="O365" s="20"/>
      <c r="P365" s="20"/>
      <c r="Q365" s="20"/>
      <c r="R365" s="20"/>
      <c r="S365" s="20"/>
      <c r="T365" s="20"/>
      <c r="U365" s="20"/>
      <c r="V365" s="20"/>
      <c r="W365" s="20"/>
      <c r="X365" s="20"/>
    </row>
    <row r="366" ht="12.0" customHeight="1">
      <c r="A366" s="20"/>
      <c r="B366" s="20"/>
      <c r="C366" s="20"/>
      <c r="D366" s="35"/>
      <c r="E366" s="20"/>
      <c r="F366" s="20"/>
      <c r="G366" s="20"/>
      <c r="H366" s="20"/>
      <c r="I366" s="20"/>
      <c r="J366" s="20"/>
      <c r="K366" s="20"/>
      <c r="L366" s="20"/>
      <c r="M366" s="20"/>
      <c r="N366" s="20"/>
      <c r="O366" s="20"/>
      <c r="P366" s="20"/>
      <c r="Q366" s="20"/>
      <c r="R366" s="20"/>
      <c r="S366" s="20"/>
      <c r="T366" s="20"/>
      <c r="U366" s="20"/>
      <c r="V366" s="20"/>
      <c r="W366" s="20"/>
      <c r="X366" s="20"/>
    </row>
    <row r="367" ht="12.0" customHeight="1">
      <c r="A367" s="20"/>
      <c r="B367" s="20"/>
      <c r="C367" s="20"/>
      <c r="D367" s="35"/>
      <c r="E367" s="20"/>
      <c r="F367" s="20"/>
      <c r="G367" s="20"/>
      <c r="H367" s="20"/>
      <c r="I367" s="20"/>
      <c r="J367" s="20"/>
      <c r="K367" s="20"/>
      <c r="L367" s="20"/>
      <c r="M367" s="20"/>
      <c r="N367" s="20"/>
      <c r="O367" s="20"/>
      <c r="P367" s="20"/>
      <c r="Q367" s="20"/>
      <c r="R367" s="20"/>
      <c r="S367" s="20"/>
      <c r="T367" s="20"/>
      <c r="U367" s="20"/>
      <c r="V367" s="20"/>
      <c r="W367" s="20"/>
      <c r="X367" s="20"/>
    </row>
    <row r="368" ht="12.0" customHeight="1">
      <c r="A368" s="20"/>
      <c r="B368" s="20"/>
      <c r="C368" s="20"/>
      <c r="D368" s="35"/>
      <c r="E368" s="20"/>
      <c r="F368" s="20"/>
      <c r="G368" s="20"/>
      <c r="H368" s="20"/>
      <c r="I368" s="20"/>
      <c r="J368" s="20"/>
      <c r="K368" s="20"/>
      <c r="L368" s="20"/>
      <c r="M368" s="20"/>
      <c r="N368" s="20"/>
      <c r="O368" s="20"/>
      <c r="P368" s="20"/>
      <c r="Q368" s="20"/>
      <c r="R368" s="20"/>
      <c r="S368" s="20"/>
      <c r="T368" s="20"/>
      <c r="U368" s="20"/>
      <c r="V368" s="20"/>
      <c r="W368" s="20"/>
      <c r="X368" s="20"/>
    </row>
    <row r="369" ht="12.0" customHeight="1">
      <c r="A369" s="20"/>
      <c r="B369" s="20"/>
      <c r="C369" s="20"/>
      <c r="D369" s="35"/>
      <c r="E369" s="20"/>
      <c r="F369" s="20"/>
      <c r="G369" s="20"/>
      <c r="H369" s="20"/>
      <c r="I369" s="20"/>
      <c r="J369" s="20"/>
      <c r="K369" s="20"/>
      <c r="L369" s="20"/>
      <c r="M369" s="20"/>
      <c r="N369" s="20"/>
      <c r="O369" s="20"/>
      <c r="P369" s="20"/>
      <c r="Q369" s="20"/>
      <c r="R369" s="20"/>
      <c r="S369" s="20"/>
      <c r="T369" s="20"/>
      <c r="U369" s="20"/>
      <c r="V369" s="20"/>
      <c r="W369" s="20"/>
      <c r="X369" s="20"/>
    </row>
    <row r="370" ht="12.0" customHeight="1">
      <c r="A370" s="20"/>
      <c r="B370" s="20"/>
      <c r="C370" s="20"/>
      <c r="D370" s="35"/>
      <c r="E370" s="20"/>
      <c r="F370" s="20"/>
      <c r="G370" s="20"/>
      <c r="H370" s="20"/>
      <c r="I370" s="20"/>
      <c r="J370" s="20"/>
      <c r="K370" s="20"/>
      <c r="L370" s="20"/>
      <c r="M370" s="20"/>
      <c r="N370" s="20"/>
      <c r="O370" s="20"/>
      <c r="P370" s="20"/>
      <c r="Q370" s="20"/>
      <c r="R370" s="20"/>
      <c r="S370" s="20"/>
      <c r="T370" s="20"/>
      <c r="U370" s="20"/>
      <c r="V370" s="20"/>
      <c r="W370" s="20"/>
      <c r="X370" s="20"/>
    </row>
    <row r="371" ht="12.0" customHeight="1">
      <c r="A371" s="20"/>
      <c r="B371" s="20"/>
      <c r="C371" s="20"/>
      <c r="D371" s="35"/>
      <c r="E371" s="20"/>
      <c r="F371" s="20"/>
      <c r="G371" s="20"/>
      <c r="H371" s="20"/>
      <c r="I371" s="20"/>
      <c r="J371" s="20"/>
      <c r="K371" s="20"/>
      <c r="L371" s="20"/>
      <c r="M371" s="20"/>
      <c r="N371" s="20"/>
      <c r="O371" s="20"/>
      <c r="P371" s="20"/>
      <c r="Q371" s="20"/>
      <c r="R371" s="20"/>
      <c r="S371" s="20"/>
      <c r="T371" s="20"/>
      <c r="U371" s="20"/>
      <c r="V371" s="20"/>
      <c r="W371" s="20"/>
      <c r="X371" s="20"/>
    </row>
    <row r="372" ht="12.0" customHeight="1">
      <c r="A372" s="20"/>
      <c r="B372" s="20"/>
      <c r="C372" s="20"/>
      <c r="D372" s="35"/>
      <c r="E372" s="20"/>
      <c r="F372" s="20"/>
      <c r="G372" s="20"/>
      <c r="H372" s="20"/>
      <c r="I372" s="20"/>
      <c r="J372" s="20"/>
      <c r="K372" s="20"/>
      <c r="L372" s="20"/>
      <c r="M372" s="20"/>
      <c r="N372" s="20"/>
      <c r="O372" s="20"/>
      <c r="P372" s="20"/>
      <c r="Q372" s="20"/>
      <c r="R372" s="20"/>
      <c r="S372" s="20"/>
      <c r="T372" s="20"/>
      <c r="U372" s="20"/>
      <c r="V372" s="20"/>
      <c r="W372" s="20"/>
      <c r="X372" s="20"/>
    </row>
    <row r="373" ht="12.0" customHeight="1">
      <c r="A373" s="20"/>
      <c r="B373" s="20"/>
      <c r="C373" s="20"/>
      <c r="D373" s="35"/>
      <c r="E373" s="20"/>
      <c r="F373" s="20"/>
      <c r="G373" s="20"/>
      <c r="H373" s="20"/>
      <c r="I373" s="20"/>
      <c r="J373" s="20"/>
      <c r="K373" s="20"/>
      <c r="L373" s="20"/>
      <c r="M373" s="20"/>
      <c r="N373" s="20"/>
      <c r="O373" s="20"/>
      <c r="P373" s="20"/>
      <c r="Q373" s="20"/>
      <c r="R373" s="20"/>
      <c r="S373" s="20"/>
      <c r="T373" s="20"/>
      <c r="U373" s="20"/>
      <c r="V373" s="20"/>
      <c r="W373" s="20"/>
      <c r="X373" s="20"/>
    </row>
    <row r="374" ht="12.0" customHeight="1">
      <c r="A374" s="20"/>
      <c r="B374" s="20"/>
      <c r="C374" s="20"/>
      <c r="D374" s="35"/>
      <c r="E374" s="20"/>
      <c r="F374" s="20"/>
      <c r="G374" s="20"/>
      <c r="H374" s="20"/>
      <c r="I374" s="20"/>
      <c r="J374" s="20"/>
      <c r="K374" s="20"/>
      <c r="L374" s="20"/>
      <c r="M374" s="20"/>
      <c r="N374" s="20"/>
      <c r="O374" s="20"/>
      <c r="P374" s="20"/>
      <c r="Q374" s="20"/>
      <c r="R374" s="20"/>
      <c r="S374" s="20"/>
      <c r="T374" s="20"/>
      <c r="U374" s="20"/>
      <c r="V374" s="20"/>
      <c r="W374" s="20"/>
      <c r="X374" s="20"/>
    </row>
    <row r="375" ht="12.0" customHeight="1">
      <c r="A375" s="20"/>
      <c r="B375" s="20"/>
      <c r="C375" s="20"/>
      <c r="D375" s="35"/>
      <c r="E375" s="20"/>
      <c r="F375" s="20"/>
      <c r="G375" s="20"/>
      <c r="H375" s="20"/>
      <c r="I375" s="20"/>
      <c r="J375" s="20"/>
      <c r="K375" s="20"/>
      <c r="L375" s="20"/>
      <c r="M375" s="20"/>
      <c r="N375" s="20"/>
      <c r="O375" s="20"/>
      <c r="P375" s="20"/>
      <c r="Q375" s="20"/>
      <c r="R375" s="20"/>
      <c r="S375" s="20"/>
      <c r="T375" s="20"/>
      <c r="U375" s="20"/>
      <c r="V375" s="20"/>
      <c r="W375" s="20"/>
      <c r="X375" s="20"/>
    </row>
    <row r="376" ht="12.0" customHeight="1">
      <c r="A376" s="20"/>
      <c r="B376" s="20"/>
      <c r="C376" s="20"/>
      <c r="D376" s="35"/>
      <c r="E376" s="20"/>
      <c r="F376" s="20"/>
      <c r="G376" s="20"/>
      <c r="H376" s="20"/>
      <c r="I376" s="20"/>
      <c r="J376" s="20"/>
      <c r="K376" s="20"/>
      <c r="L376" s="20"/>
      <c r="M376" s="20"/>
      <c r="N376" s="20"/>
      <c r="O376" s="20"/>
      <c r="P376" s="20"/>
      <c r="Q376" s="20"/>
      <c r="R376" s="20"/>
      <c r="S376" s="20"/>
      <c r="T376" s="20"/>
      <c r="U376" s="20"/>
      <c r="V376" s="20"/>
      <c r="W376" s="20"/>
      <c r="X376" s="20"/>
    </row>
    <row r="377" ht="12.0" customHeight="1">
      <c r="A377" s="20"/>
      <c r="B377" s="20"/>
      <c r="C377" s="20"/>
      <c r="D377" s="35"/>
      <c r="E377" s="20"/>
      <c r="F377" s="20"/>
      <c r="G377" s="20"/>
      <c r="H377" s="20"/>
      <c r="I377" s="20"/>
      <c r="J377" s="20"/>
      <c r="K377" s="20"/>
      <c r="L377" s="20"/>
      <c r="M377" s="20"/>
      <c r="N377" s="20"/>
      <c r="O377" s="20"/>
      <c r="P377" s="20"/>
      <c r="Q377" s="20"/>
      <c r="R377" s="20"/>
      <c r="S377" s="20"/>
      <c r="T377" s="20"/>
      <c r="U377" s="20"/>
      <c r="V377" s="20"/>
      <c r="W377" s="20"/>
      <c r="X377" s="20"/>
    </row>
    <row r="378" ht="12.0" customHeight="1">
      <c r="A378" s="20"/>
      <c r="B378" s="20"/>
      <c r="C378" s="20"/>
      <c r="D378" s="35"/>
      <c r="E378" s="20"/>
      <c r="F378" s="20"/>
      <c r="G378" s="20"/>
      <c r="H378" s="20"/>
      <c r="I378" s="20"/>
      <c r="J378" s="20"/>
      <c r="K378" s="20"/>
      <c r="L378" s="20"/>
      <c r="M378" s="20"/>
      <c r="N378" s="20"/>
      <c r="O378" s="20"/>
      <c r="P378" s="20"/>
      <c r="Q378" s="20"/>
      <c r="R378" s="20"/>
      <c r="S378" s="20"/>
      <c r="T378" s="20"/>
      <c r="U378" s="20"/>
      <c r="V378" s="20"/>
      <c r="W378" s="20"/>
      <c r="X378" s="20"/>
    </row>
    <row r="379" ht="12.0" customHeight="1">
      <c r="A379" s="20"/>
      <c r="B379" s="20"/>
      <c r="C379" s="20"/>
      <c r="D379" s="35"/>
      <c r="E379" s="20"/>
      <c r="F379" s="20"/>
      <c r="G379" s="20"/>
      <c r="H379" s="20"/>
      <c r="I379" s="20"/>
      <c r="J379" s="20"/>
      <c r="K379" s="20"/>
      <c r="L379" s="20"/>
      <c r="M379" s="20"/>
      <c r="N379" s="20"/>
      <c r="O379" s="20"/>
      <c r="P379" s="20"/>
      <c r="Q379" s="20"/>
      <c r="R379" s="20"/>
      <c r="S379" s="20"/>
      <c r="T379" s="20"/>
      <c r="U379" s="20"/>
      <c r="V379" s="20"/>
      <c r="W379" s="20"/>
      <c r="X379" s="20"/>
    </row>
    <row r="380" ht="12.0" customHeight="1">
      <c r="A380" s="20"/>
      <c r="B380" s="20"/>
      <c r="C380" s="20"/>
      <c r="D380" s="35"/>
      <c r="E380" s="20"/>
      <c r="F380" s="20"/>
      <c r="G380" s="20"/>
      <c r="H380" s="20"/>
      <c r="I380" s="20"/>
      <c r="J380" s="20"/>
      <c r="K380" s="20"/>
      <c r="L380" s="20"/>
      <c r="M380" s="20"/>
      <c r="N380" s="20"/>
      <c r="O380" s="20"/>
      <c r="P380" s="20"/>
      <c r="Q380" s="20"/>
      <c r="R380" s="20"/>
      <c r="S380" s="20"/>
      <c r="T380" s="20"/>
      <c r="U380" s="20"/>
      <c r="V380" s="20"/>
      <c r="W380" s="20"/>
      <c r="X380" s="20"/>
    </row>
    <row r="381" ht="12.0" customHeight="1">
      <c r="A381" s="20"/>
      <c r="B381" s="20"/>
      <c r="C381" s="20"/>
      <c r="D381" s="35"/>
      <c r="E381" s="20"/>
      <c r="F381" s="20"/>
      <c r="G381" s="20"/>
      <c r="H381" s="20"/>
      <c r="I381" s="20"/>
      <c r="J381" s="20"/>
      <c r="K381" s="20"/>
      <c r="L381" s="20"/>
      <c r="M381" s="20"/>
      <c r="N381" s="20"/>
      <c r="O381" s="20"/>
      <c r="P381" s="20"/>
      <c r="Q381" s="20"/>
      <c r="R381" s="20"/>
      <c r="S381" s="20"/>
      <c r="T381" s="20"/>
      <c r="U381" s="20"/>
      <c r="V381" s="20"/>
      <c r="W381" s="20"/>
      <c r="X381" s="20"/>
    </row>
    <row r="382" ht="12.0" customHeight="1">
      <c r="A382" s="20"/>
      <c r="B382" s="20"/>
      <c r="C382" s="20"/>
      <c r="D382" s="35"/>
      <c r="E382" s="20"/>
      <c r="F382" s="20"/>
      <c r="G382" s="20"/>
      <c r="H382" s="20"/>
      <c r="I382" s="20"/>
      <c r="J382" s="20"/>
      <c r="K382" s="20"/>
      <c r="L382" s="20"/>
      <c r="M382" s="20"/>
      <c r="N382" s="20"/>
      <c r="O382" s="20"/>
      <c r="P382" s="20"/>
      <c r="Q382" s="20"/>
      <c r="R382" s="20"/>
      <c r="S382" s="20"/>
      <c r="T382" s="20"/>
      <c r="U382" s="20"/>
      <c r="V382" s="20"/>
      <c r="W382" s="20"/>
      <c r="X382" s="20"/>
    </row>
    <row r="383" ht="12.0" customHeight="1">
      <c r="A383" s="20"/>
      <c r="B383" s="20"/>
      <c r="C383" s="20"/>
      <c r="D383" s="35"/>
      <c r="E383" s="20"/>
      <c r="F383" s="20"/>
      <c r="G383" s="20"/>
      <c r="H383" s="20"/>
      <c r="I383" s="20"/>
      <c r="J383" s="20"/>
      <c r="K383" s="20"/>
      <c r="L383" s="20"/>
      <c r="M383" s="20"/>
      <c r="N383" s="20"/>
      <c r="O383" s="20"/>
      <c r="P383" s="20"/>
      <c r="Q383" s="20"/>
      <c r="R383" s="20"/>
      <c r="S383" s="20"/>
      <c r="T383" s="20"/>
      <c r="U383" s="20"/>
      <c r="V383" s="20"/>
      <c r="W383" s="20"/>
      <c r="X383" s="20"/>
    </row>
    <row r="384" ht="12.0" customHeight="1">
      <c r="A384" s="20"/>
      <c r="B384" s="20"/>
      <c r="C384" s="20"/>
      <c r="D384" s="35"/>
      <c r="E384" s="20"/>
      <c r="F384" s="20"/>
      <c r="G384" s="20"/>
      <c r="H384" s="20"/>
      <c r="I384" s="20"/>
      <c r="J384" s="20"/>
      <c r="K384" s="20"/>
      <c r="L384" s="20"/>
      <c r="M384" s="20"/>
      <c r="N384" s="20"/>
      <c r="O384" s="20"/>
      <c r="P384" s="20"/>
      <c r="Q384" s="20"/>
      <c r="R384" s="20"/>
      <c r="S384" s="20"/>
      <c r="T384" s="20"/>
      <c r="U384" s="20"/>
      <c r="V384" s="20"/>
      <c r="W384" s="20"/>
      <c r="X384" s="20"/>
    </row>
    <row r="385" ht="12.0" customHeight="1">
      <c r="A385" s="20"/>
      <c r="B385" s="20"/>
      <c r="C385" s="20"/>
      <c r="D385" s="35"/>
      <c r="E385" s="20"/>
      <c r="F385" s="20"/>
      <c r="G385" s="20"/>
      <c r="H385" s="20"/>
      <c r="I385" s="20"/>
      <c r="J385" s="20"/>
      <c r="K385" s="20"/>
      <c r="L385" s="20"/>
      <c r="M385" s="20"/>
      <c r="N385" s="20"/>
      <c r="O385" s="20"/>
      <c r="P385" s="20"/>
      <c r="Q385" s="20"/>
      <c r="R385" s="20"/>
      <c r="S385" s="20"/>
      <c r="T385" s="20"/>
      <c r="U385" s="20"/>
      <c r="V385" s="20"/>
      <c r="W385" s="20"/>
      <c r="X385" s="20"/>
    </row>
    <row r="386" ht="12.0" customHeight="1">
      <c r="A386" s="20"/>
      <c r="B386" s="20"/>
      <c r="C386" s="20"/>
      <c r="D386" s="35"/>
      <c r="E386" s="20"/>
      <c r="F386" s="20"/>
      <c r="G386" s="20"/>
      <c r="H386" s="20"/>
      <c r="I386" s="20"/>
      <c r="J386" s="20"/>
      <c r="K386" s="20"/>
      <c r="L386" s="20"/>
      <c r="M386" s="20"/>
      <c r="N386" s="20"/>
      <c r="O386" s="20"/>
      <c r="P386" s="20"/>
      <c r="Q386" s="20"/>
      <c r="R386" s="20"/>
      <c r="S386" s="20"/>
      <c r="T386" s="20"/>
      <c r="U386" s="20"/>
      <c r="V386" s="20"/>
      <c r="W386" s="20"/>
      <c r="X386" s="20"/>
    </row>
    <row r="387" ht="12.0" customHeight="1">
      <c r="A387" s="20"/>
      <c r="B387" s="20"/>
      <c r="C387" s="20"/>
      <c r="D387" s="35"/>
      <c r="E387" s="20"/>
      <c r="F387" s="20"/>
      <c r="G387" s="20"/>
      <c r="H387" s="20"/>
      <c r="I387" s="20"/>
      <c r="J387" s="20"/>
      <c r="K387" s="20"/>
      <c r="L387" s="20"/>
      <c r="M387" s="20"/>
      <c r="N387" s="20"/>
      <c r="O387" s="20"/>
      <c r="P387" s="20"/>
      <c r="Q387" s="20"/>
      <c r="R387" s="20"/>
      <c r="S387" s="20"/>
      <c r="T387" s="20"/>
      <c r="U387" s="20"/>
      <c r="V387" s="20"/>
      <c r="W387" s="20"/>
      <c r="X387" s="20"/>
    </row>
    <row r="388" ht="12.0" customHeight="1">
      <c r="A388" s="20"/>
      <c r="B388" s="20"/>
      <c r="C388" s="20"/>
      <c r="D388" s="35"/>
      <c r="E388" s="20"/>
      <c r="F388" s="20"/>
      <c r="G388" s="20"/>
      <c r="H388" s="20"/>
      <c r="I388" s="20"/>
      <c r="J388" s="20"/>
      <c r="K388" s="20"/>
      <c r="L388" s="20"/>
      <c r="M388" s="20"/>
      <c r="N388" s="20"/>
      <c r="O388" s="20"/>
      <c r="P388" s="20"/>
      <c r="Q388" s="20"/>
      <c r="R388" s="20"/>
      <c r="S388" s="20"/>
      <c r="T388" s="20"/>
      <c r="U388" s="20"/>
      <c r="V388" s="20"/>
      <c r="W388" s="20"/>
      <c r="X388" s="20"/>
    </row>
    <row r="389" ht="12.0" customHeight="1">
      <c r="A389" s="20"/>
      <c r="B389" s="20"/>
      <c r="C389" s="20"/>
      <c r="D389" s="35"/>
      <c r="E389" s="20"/>
      <c r="F389" s="20"/>
      <c r="G389" s="20"/>
      <c r="H389" s="20"/>
      <c r="I389" s="20"/>
      <c r="J389" s="20"/>
      <c r="K389" s="20"/>
      <c r="L389" s="20"/>
      <c r="M389" s="20"/>
      <c r="N389" s="20"/>
      <c r="O389" s="20"/>
      <c r="P389" s="20"/>
      <c r="Q389" s="20"/>
      <c r="R389" s="20"/>
      <c r="S389" s="20"/>
      <c r="T389" s="20"/>
      <c r="U389" s="20"/>
      <c r="V389" s="20"/>
      <c r="W389" s="20"/>
      <c r="X389" s="20"/>
    </row>
    <row r="390" ht="12.0" customHeight="1">
      <c r="A390" s="20"/>
      <c r="B390" s="20"/>
      <c r="C390" s="20"/>
      <c r="D390" s="35"/>
      <c r="E390" s="20"/>
      <c r="F390" s="20"/>
      <c r="G390" s="20"/>
      <c r="H390" s="20"/>
      <c r="I390" s="20"/>
      <c r="J390" s="20"/>
      <c r="K390" s="20"/>
      <c r="L390" s="20"/>
      <c r="M390" s="20"/>
      <c r="N390" s="20"/>
      <c r="O390" s="20"/>
      <c r="P390" s="20"/>
      <c r="Q390" s="20"/>
      <c r="R390" s="20"/>
      <c r="S390" s="20"/>
      <c r="T390" s="20"/>
      <c r="U390" s="20"/>
      <c r="V390" s="20"/>
      <c r="W390" s="20"/>
      <c r="X390" s="20"/>
    </row>
    <row r="391" ht="12.0" customHeight="1">
      <c r="A391" s="20"/>
      <c r="B391" s="20"/>
      <c r="C391" s="20"/>
      <c r="D391" s="35"/>
      <c r="E391" s="20"/>
      <c r="F391" s="20"/>
      <c r="G391" s="20"/>
      <c r="H391" s="20"/>
      <c r="I391" s="20"/>
      <c r="J391" s="20"/>
      <c r="K391" s="20"/>
      <c r="L391" s="20"/>
      <c r="M391" s="20"/>
      <c r="N391" s="20"/>
      <c r="O391" s="20"/>
      <c r="P391" s="20"/>
      <c r="Q391" s="20"/>
      <c r="R391" s="20"/>
      <c r="S391" s="20"/>
      <c r="T391" s="20"/>
      <c r="U391" s="20"/>
      <c r="V391" s="20"/>
      <c r="W391" s="20"/>
      <c r="X391" s="20"/>
    </row>
    <row r="392" ht="12.0" customHeight="1">
      <c r="A392" s="20"/>
      <c r="B392" s="20"/>
      <c r="C392" s="20"/>
      <c r="D392" s="35"/>
      <c r="E392" s="20"/>
      <c r="F392" s="20"/>
      <c r="G392" s="20"/>
      <c r="H392" s="20"/>
      <c r="I392" s="20"/>
      <c r="J392" s="20"/>
      <c r="K392" s="20"/>
      <c r="L392" s="20"/>
      <c r="M392" s="20"/>
      <c r="N392" s="20"/>
      <c r="O392" s="20"/>
      <c r="P392" s="20"/>
      <c r="Q392" s="20"/>
      <c r="R392" s="20"/>
      <c r="S392" s="20"/>
      <c r="T392" s="20"/>
      <c r="U392" s="20"/>
      <c r="V392" s="20"/>
      <c r="W392" s="20"/>
      <c r="X392" s="20"/>
    </row>
    <row r="393" ht="12.0" customHeight="1">
      <c r="A393" s="20"/>
      <c r="B393" s="20"/>
      <c r="C393" s="20"/>
      <c r="D393" s="35"/>
      <c r="E393" s="20"/>
      <c r="F393" s="20"/>
      <c r="G393" s="20"/>
      <c r="H393" s="20"/>
      <c r="I393" s="20"/>
      <c r="J393" s="20"/>
      <c r="K393" s="20"/>
      <c r="L393" s="20"/>
      <c r="M393" s="20"/>
      <c r="N393" s="20"/>
      <c r="O393" s="20"/>
      <c r="P393" s="20"/>
      <c r="Q393" s="20"/>
      <c r="R393" s="20"/>
      <c r="S393" s="20"/>
      <c r="T393" s="20"/>
      <c r="U393" s="20"/>
      <c r="V393" s="20"/>
      <c r="W393" s="20"/>
      <c r="X393" s="20"/>
    </row>
    <row r="394" ht="12.0" customHeight="1">
      <c r="A394" s="20"/>
      <c r="B394" s="20"/>
      <c r="C394" s="20"/>
      <c r="D394" s="35"/>
      <c r="E394" s="20"/>
      <c r="F394" s="20"/>
      <c r="G394" s="20"/>
      <c r="H394" s="20"/>
      <c r="I394" s="20"/>
      <c r="J394" s="20"/>
      <c r="K394" s="20"/>
      <c r="L394" s="20"/>
      <c r="M394" s="20"/>
      <c r="N394" s="20"/>
      <c r="O394" s="20"/>
      <c r="P394" s="20"/>
      <c r="Q394" s="20"/>
      <c r="R394" s="20"/>
      <c r="S394" s="20"/>
      <c r="T394" s="20"/>
      <c r="U394" s="20"/>
      <c r="V394" s="20"/>
      <c r="W394" s="20"/>
      <c r="X394" s="20"/>
    </row>
    <row r="395" ht="12.0" customHeight="1">
      <c r="A395" s="20"/>
      <c r="B395" s="20"/>
      <c r="C395" s="20"/>
      <c r="D395" s="35"/>
      <c r="E395" s="20"/>
      <c r="F395" s="20"/>
      <c r="G395" s="20"/>
      <c r="H395" s="20"/>
      <c r="I395" s="20"/>
      <c r="J395" s="20"/>
      <c r="K395" s="20"/>
      <c r="L395" s="20"/>
      <c r="M395" s="20"/>
      <c r="N395" s="20"/>
      <c r="O395" s="20"/>
      <c r="P395" s="20"/>
      <c r="Q395" s="20"/>
      <c r="R395" s="20"/>
      <c r="S395" s="20"/>
      <c r="T395" s="20"/>
      <c r="U395" s="20"/>
      <c r="V395" s="20"/>
      <c r="W395" s="20"/>
      <c r="X395" s="20"/>
    </row>
    <row r="396" ht="12.0" customHeight="1">
      <c r="A396" s="20"/>
      <c r="B396" s="20"/>
      <c r="C396" s="20"/>
      <c r="D396" s="35"/>
      <c r="E396" s="20"/>
      <c r="F396" s="20"/>
      <c r="G396" s="20"/>
      <c r="H396" s="20"/>
      <c r="I396" s="20"/>
      <c r="J396" s="20"/>
      <c r="K396" s="20"/>
      <c r="L396" s="20"/>
      <c r="M396" s="20"/>
      <c r="N396" s="20"/>
      <c r="O396" s="20"/>
      <c r="P396" s="20"/>
      <c r="Q396" s="20"/>
      <c r="R396" s="20"/>
      <c r="S396" s="20"/>
      <c r="T396" s="20"/>
      <c r="U396" s="20"/>
      <c r="V396" s="20"/>
      <c r="W396" s="20"/>
      <c r="X396" s="20"/>
    </row>
    <row r="397" ht="12.0" customHeight="1">
      <c r="A397" s="20"/>
      <c r="B397" s="20"/>
      <c r="C397" s="20"/>
      <c r="D397" s="35"/>
      <c r="E397" s="20"/>
      <c r="F397" s="20"/>
      <c r="G397" s="20"/>
      <c r="H397" s="20"/>
      <c r="I397" s="20"/>
      <c r="J397" s="20"/>
      <c r="K397" s="20"/>
      <c r="L397" s="20"/>
      <c r="M397" s="20"/>
      <c r="N397" s="20"/>
      <c r="O397" s="20"/>
      <c r="P397" s="20"/>
      <c r="Q397" s="20"/>
      <c r="R397" s="20"/>
      <c r="S397" s="20"/>
      <c r="T397" s="20"/>
      <c r="U397" s="20"/>
      <c r="V397" s="20"/>
      <c r="W397" s="20"/>
      <c r="X397" s="20"/>
    </row>
    <row r="398" ht="12.0" customHeight="1">
      <c r="A398" s="20"/>
      <c r="B398" s="20"/>
      <c r="C398" s="20"/>
      <c r="D398" s="35"/>
      <c r="E398" s="20"/>
      <c r="F398" s="20"/>
      <c r="G398" s="20"/>
      <c r="H398" s="20"/>
      <c r="I398" s="20"/>
      <c r="J398" s="20"/>
      <c r="K398" s="20"/>
      <c r="L398" s="20"/>
      <c r="M398" s="20"/>
      <c r="N398" s="20"/>
      <c r="O398" s="20"/>
      <c r="P398" s="20"/>
      <c r="Q398" s="20"/>
      <c r="R398" s="20"/>
      <c r="S398" s="20"/>
      <c r="T398" s="20"/>
      <c r="U398" s="20"/>
      <c r="V398" s="20"/>
      <c r="W398" s="20"/>
      <c r="X398" s="20"/>
    </row>
    <row r="399" ht="12.0" customHeight="1">
      <c r="A399" s="20"/>
      <c r="B399" s="20"/>
      <c r="C399" s="20"/>
      <c r="D399" s="35"/>
      <c r="E399" s="20"/>
      <c r="F399" s="20"/>
      <c r="G399" s="20"/>
      <c r="H399" s="20"/>
      <c r="I399" s="20"/>
      <c r="J399" s="20"/>
      <c r="K399" s="20"/>
      <c r="L399" s="20"/>
      <c r="M399" s="20"/>
      <c r="N399" s="20"/>
      <c r="O399" s="20"/>
      <c r="P399" s="20"/>
      <c r="Q399" s="20"/>
      <c r="R399" s="20"/>
      <c r="S399" s="20"/>
      <c r="T399" s="20"/>
      <c r="U399" s="20"/>
      <c r="V399" s="20"/>
      <c r="W399" s="20"/>
      <c r="X399" s="20"/>
    </row>
    <row r="400" ht="12.0" customHeight="1">
      <c r="A400" s="20"/>
      <c r="B400" s="20"/>
      <c r="C400" s="20"/>
      <c r="D400" s="35"/>
      <c r="E400" s="20"/>
      <c r="F400" s="20"/>
      <c r="G400" s="20"/>
      <c r="H400" s="20"/>
      <c r="I400" s="20"/>
      <c r="J400" s="20"/>
      <c r="K400" s="20"/>
      <c r="L400" s="20"/>
      <c r="M400" s="20"/>
      <c r="N400" s="20"/>
      <c r="O400" s="20"/>
      <c r="P400" s="20"/>
      <c r="Q400" s="20"/>
      <c r="R400" s="20"/>
      <c r="S400" s="20"/>
      <c r="T400" s="20"/>
      <c r="U400" s="20"/>
      <c r="V400" s="20"/>
      <c r="W400" s="20"/>
      <c r="X400" s="20"/>
    </row>
    <row r="401" ht="12.0" customHeight="1">
      <c r="A401" s="20"/>
      <c r="B401" s="20"/>
      <c r="C401" s="20"/>
      <c r="D401" s="35"/>
      <c r="E401" s="20"/>
      <c r="F401" s="20"/>
      <c r="G401" s="20"/>
      <c r="H401" s="20"/>
      <c r="I401" s="20"/>
      <c r="J401" s="20"/>
      <c r="K401" s="20"/>
      <c r="L401" s="20"/>
      <c r="M401" s="20"/>
      <c r="N401" s="20"/>
      <c r="O401" s="20"/>
      <c r="P401" s="20"/>
      <c r="Q401" s="20"/>
      <c r="R401" s="20"/>
      <c r="S401" s="20"/>
      <c r="T401" s="20"/>
      <c r="U401" s="20"/>
      <c r="V401" s="20"/>
      <c r="W401" s="20"/>
      <c r="X401" s="20"/>
    </row>
    <row r="402" ht="12.0" customHeight="1">
      <c r="A402" s="20"/>
      <c r="B402" s="20"/>
      <c r="C402" s="20"/>
      <c r="D402" s="35"/>
      <c r="E402" s="20"/>
      <c r="F402" s="20"/>
      <c r="G402" s="20"/>
      <c r="H402" s="20"/>
      <c r="I402" s="20"/>
      <c r="J402" s="20"/>
      <c r="K402" s="20"/>
      <c r="L402" s="20"/>
      <c r="M402" s="20"/>
      <c r="N402" s="20"/>
      <c r="O402" s="20"/>
      <c r="P402" s="20"/>
      <c r="Q402" s="20"/>
      <c r="R402" s="20"/>
      <c r="S402" s="20"/>
      <c r="T402" s="20"/>
      <c r="U402" s="20"/>
      <c r="V402" s="20"/>
      <c r="W402" s="20"/>
      <c r="X402" s="20"/>
    </row>
    <row r="403" ht="12.0" customHeight="1">
      <c r="A403" s="20"/>
      <c r="B403" s="20"/>
      <c r="C403" s="20"/>
      <c r="D403" s="35"/>
      <c r="E403" s="20"/>
      <c r="F403" s="20"/>
      <c r="G403" s="20"/>
      <c r="H403" s="20"/>
      <c r="I403" s="20"/>
      <c r="J403" s="20"/>
      <c r="K403" s="20"/>
      <c r="L403" s="20"/>
      <c r="M403" s="20"/>
      <c r="N403" s="20"/>
      <c r="O403" s="20"/>
      <c r="P403" s="20"/>
      <c r="Q403" s="20"/>
      <c r="R403" s="20"/>
      <c r="S403" s="20"/>
      <c r="T403" s="20"/>
      <c r="U403" s="20"/>
      <c r="V403" s="20"/>
      <c r="W403" s="20"/>
      <c r="X403" s="20"/>
    </row>
    <row r="404" ht="12.0" customHeight="1">
      <c r="A404" s="20"/>
      <c r="B404" s="20"/>
      <c r="C404" s="20"/>
      <c r="D404" s="35"/>
      <c r="E404" s="20"/>
      <c r="F404" s="20"/>
      <c r="G404" s="20"/>
      <c r="H404" s="20"/>
      <c r="I404" s="20"/>
      <c r="J404" s="20"/>
      <c r="K404" s="20"/>
      <c r="L404" s="20"/>
      <c r="M404" s="20"/>
      <c r="N404" s="20"/>
      <c r="O404" s="20"/>
      <c r="P404" s="20"/>
      <c r="Q404" s="20"/>
      <c r="R404" s="20"/>
      <c r="S404" s="20"/>
      <c r="T404" s="20"/>
      <c r="U404" s="20"/>
      <c r="V404" s="20"/>
      <c r="W404" s="20"/>
      <c r="X404" s="20"/>
    </row>
    <row r="405" ht="12.0" customHeight="1">
      <c r="A405" s="20"/>
      <c r="B405" s="20"/>
      <c r="C405" s="20"/>
      <c r="D405" s="35"/>
      <c r="E405" s="20"/>
      <c r="F405" s="20"/>
      <c r="G405" s="20"/>
      <c r="H405" s="20"/>
      <c r="I405" s="20"/>
      <c r="J405" s="20"/>
      <c r="K405" s="20"/>
      <c r="L405" s="20"/>
      <c r="M405" s="20"/>
      <c r="N405" s="20"/>
      <c r="O405" s="20"/>
      <c r="P405" s="20"/>
      <c r="Q405" s="20"/>
      <c r="R405" s="20"/>
      <c r="S405" s="20"/>
      <c r="T405" s="20"/>
      <c r="U405" s="20"/>
      <c r="V405" s="20"/>
      <c r="W405" s="20"/>
      <c r="X405" s="20"/>
    </row>
    <row r="406" ht="12.0" customHeight="1">
      <c r="A406" s="20"/>
      <c r="B406" s="20"/>
      <c r="C406" s="20"/>
      <c r="D406" s="35"/>
      <c r="E406" s="20"/>
      <c r="F406" s="20"/>
      <c r="G406" s="20"/>
      <c r="H406" s="20"/>
      <c r="I406" s="20"/>
      <c r="J406" s="20"/>
      <c r="K406" s="20"/>
      <c r="L406" s="20"/>
      <c r="M406" s="20"/>
      <c r="N406" s="20"/>
      <c r="O406" s="20"/>
      <c r="P406" s="20"/>
      <c r="Q406" s="20"/>
      <c r="R406" s="20"/>
      <c r="S406" s="20"/>
      <c r="T406" s="20"/>
      <c r="U406" s="20"/>
      <c r="V406" s="20"/>
      <c r="W406" s="20"/>
      <c r="X406" s="20"/>
    </row>
    <row r="407" ht="12.0" customHeight="1">
      <c r="A407" s="20"/>
      <c r="B407" s="20"/>
      <c r="C407" s="20"/>
      <c r="D407" s="35"/>
      <c r="E407" s="20"/>
      <c r="F407" s="20"/>
      <c r="G407" s="20"/>
      <c r="H407" s="20"/>
      <c r="I407" s="20"/>
      <c r="J407" s="20"/>
      <c r="K407" s="20"/>
      <c r="L407" s="20"/>
      <c r="M407" s="20"/>
      <c r="N407" s="20"/>
      <c r="O407" s="20"/>
      <c r="P407" s="20"/>
      <c r="Q407" s="20"/>
      <c r="R407" s="20"/>
      <c r="S407" s="20"/>
      <c r="T407" s="20"/>
      <c r="U407" s="20"/>
      <c r="V407" s="20"/>
      <c r="W407" s="20"/>
      <c r="X407" s="20"/>
    </row>
    <row r="408" ht="12.0" customHeight="1">
      <c r="A408" s="20"/>
      <c r="B408" s="20"/>
      <c r="C408" s="20"/>
      <c r="D408" s="35"/>
      <c r="E408" s="20"/>
      <c r="F408" s="20"/>
      <c r="G408" s="20"/>
      <c r="H408" s="20"/>
      <c r="I408" s="20"/>
      <c r="J408" s="20"/>
      <c r="K408" s="20"/>
      <c r="L408" s="20"/>
      <c r="M408" s="20"/>
      <c r="N408" s="20"/>
      <c r="O408" s="20"/>
      <c r="P408" s="20"/>
      <c r="Q408" s="20"/>
      <c r="R408" s="20"/>
      <c r="S408" s="20"/>
      <c r="T408" s="20"/>
      <c r="U408" s="20"/>
      <c r="V408" s="20"/>
      <c r="W408" s="20"/>
      <c r="X408" s="20"/>
    </row>
    <row r="409" ht="12.0" customHeight="1">
      <c r="A409" s="20"/>
      <c r="B409" s="20"/>
      <c r="C409" s="20"/>
      <c r="D409" s="35"/>
      <c r="E409" s="20"/>
      <c r="F409" s="20"/>
      <c r="G409" s="20"/>
      <c r="H409" s="20"/>
      <c r="I409" s="20"/>
      <c r="J409" s="20"/>
      <c r="K409" s="20"/>
      <c r="L409" s="20"/>
      <c r="M409" s="20"/>
      <c r="N409" s="20"/>
      <c r="O409" s="20"/>
      <c r="P409" s="20"/>
      <c r="Q409" s="20"/>
      <c r="R409" s="20"/>
      <c r="S409" s="20"/>
      <c r="T409" s="20"/>
      <c r="U409" s="20"/>
      <c r="V409" s="20"/>
      <c r="W409" s="20"/>
      <c r="X409" s="20"/>
    </row>
    <row r="410" ht="12.0" customHeight="1">
      <c r="A410" s="20"/>
      <c r="B410" s="20"/>
      <c r="C410" s="20"/>
      <c r="D410" s="35"/>
      <c r="E410" s="20"/>
      <c r="F410" s="20"/>
      <c r="G410" s="20"/>
      <c r="H410" s="20"/>
      <c r="I410" s="20"/>
      <c r="J410" s="20"/>
      <c r="K410" s="20"/>
      <c r="L410" s="20"/>
      <c r="M410" s="20"/>
      <c r="N410" s="20"/>
      <c r="O410" s="20"/>
      <c r="P410" s="20"/>
      <c r="Q410" s="20"/>
      <c r="R410" s="20"/>
      <c r="S410" s="20"/>
      <c r="T410" s="20"/>
      <c r="U410" s="20"/>
      <c r="V410" s="20"/>
      <c r="W410" s="20"/>
      <c r="X410" s="20"/>
    </row>
    <row r="411" ht="12.0" customHeight="1">
      <c r="A411" s="20"/>
      <c r="B411" s="20"/>
      <c r="C411" s="20"/>
      <c r="D411" s="35"/>
      <c r="E411" s="20"/>
      <c r="F411" s="20"/>
      <c r="G411" s="20"/>
      <c r="H411" s="20"/>
      <c r="I411" s="20"/>
      <c r="J411" s="20"/>
      <c r="K411" s="20"/>
      <c r="L411" s="20"/>
      <c r="M411" s="20"/>
      <c r="N411" s="20"/>
      <c r="O411" s="20"/>
      <c r="P411" s="20"/>
      <c r="Q411" s="20"/>
      <c r="R411" s="20"/>
      <c r="S411" s="20"/>
      <c r="T411" s="20"/>
      <c r="U411" s="20"/>
      <c r="V411" s="20"/>
      <c r="W411" s="20"/>
      <c r="X411" s="20"/>
    </row>
    <row r="412" ht="12.0" customHeight="1">
      <c r="A412" s="20"/>
      <c r="B412" s="20"/>
      <c r="C412" s="20"/>
      <c r="D412" s="35"/>
      <c r="E412" s="20"/>
      <c r="F412" s="20"/>
      <c r="G412" s="20"/>
      <c r="H412" s="20"/>
      <c r="I412" s="20"/>
      <c r="J412" s="20"/>
      <c r="K412" s="20"/>
      <c r="L412" s="20"/>
      <c r="M412" s="20"/>
      <c r="N412" s="20"/>
      <c r="O412" s="20"/>
      <c r="P412" s="20"/>
      <c r="Q412" s="20"/>
      <c r="R412" s="20"/>
      <c r="S412" s="20"/>
      <c r="T412" s="20"/>
      <c r="U412" s="20"/>
      <c r="V412" s="20"/>
      <c r="W412" s="20"/>
      <c r="X412" s="20"/>
    </row>
    <row r="413" ht="12.0" customHeight="1">
      <c r="A413" s="20"/>
      <c r="B413" s="20"/>
      <c r="C413" s="20"/>
      <c r="D413" s="35"/>
      <c r="E413" s="20"/>
      <c r="F413" s="20"/>
      <c r="G413" s="20"/>
      <c r="H413" s="20"/>
      <c r="I413" s="20"/>
      <c r="J413" s="20"/>
      <c r="K413" s="20"/>
      <c r="L413" s="20"/>
      <c r="M413" s="20"/>
      <c r="N413" s="20"/>
      <c r="O413" s="20"/>
      <c r="P413" s="20"/>
      <c r="Q413" s="20"/>
      <c r="R413" s="20"/>
      <c r="S413" s="20"/>
      <c r="T413" s="20"/>
      <c r="U413" s="20"/>
      <c r="V413" s="20"/>
      <c r="W413" s="20"/>
      <c r="X413" s="20"/>
    </row>
    <row r="414" ht="12.0" customHeight="1">
      <c r="A414" s="20"/>
      <c r="B414" s="20"/>
      <c r="C414" s="20"/>
      <c r="D414" s="35"/>
      <c r="E414" s="20"/>
      <c r="F414" s="20"/>
      <c r="G414" s="20"/>
      <c r="H414" s="20"/>
      <c r="I414" s="20"/>
      <c r="J414" s="20"/>
      <c r="K414" s="20"/>
      <c r="L414" s="20"/>
      <c r="M414" s="20"/>
      <c r="N414" s="20"/>
      <c r="O414" s="20"/>
      <c r="P414" s="20"/>
      <c r="Q414" s="20"/>
      <c r="R414" s="20"/>
      <c r="S414" s="20"/>
      <c r="T414" s="20"/>
      <c r="U414" s="20"/>
      <c r="V414" s="20"/>
      <c r="W414" s="20"/>
      <c r="X414" s="20"/>
    </row>
    <row r="415" ht="12.0" customHeight="1">
      <c r="A415" s="20"/>
      <c r="B415" s="20"/>
      <c r="C415" s="20"/>
      <c r="D415" s="35"/>
      <c r="E415" s="20"/>
      <c r="F415" s="20"/>
      <c r="G415" s="20"/>
      <c r="H415" s="20"/>
      <c r="I415" s="20"/>
      <c r="J415" s="20"/>
      <c r="K415" s="20"/>
      <c r="L415" s="20"/>
      <c r="M415" s="20"/>
      <c r="N415" s="20"/>
      <c r="O415" s="20"/>
      <c r="P415" s="20"/>
      <c r="Q415" s="20"/>
      <c r="R415" s="20"/>
      <c r="S415" s="20"/>
      <c r="T415" s="20"/>
      <c r="U415" s="20"/>
      <c r="V415" s="20"/>
      <c r="W415" s="20"/>
      <c r="X415" s="20"/>
    </row>
    <row r="416" ht="12.0" customHeight="1">
      <c r="A416" s="20"/>
      <c r="B416" s="20"/>
      <c r="C416" s="20"/>
      <c r="D416" s="35"/>
      <c r="E416" s="20"/>
      <c r="F416" s="20"/>
      <c r="G416" s="20"/>
      <c r="H416" s="20"/>
      <c r="I416" s="20"/>
      <c r="J416" s="20"/>
      <c r="K416" s="20"/>
      <c r="L416" s="20"/>
      <c r="M416" s="20"/>
      <c r="N416" s="20"/>
      <c r="O416" s="20"/>
      <c r="P416" s="20"/>
      <c r="Q416" s="20"/>
      <c r="R416" s="20"/>
      <c r="S416" s="20"/>
      <c r="T416" s="20"/>
      <c r="U416" s="20"/>
      <c r="V416" s="20"/>
      <c r="W416" s="20"/>
      <c r="X416" s="20"/>
    </row>
    <row r="417" ht="12.0" customHeight="1">
      <c r="A417" s="20"/>
      <c r="B417" s="20"/>
      <c r="C417" s="20"/>
      <c r="D417" s="35"/>
      <c r="E417" s="20"/>
      <c r="F417" s="20"/>
      <c r="G417" s="20"/>
      <c r="H417" s="20"/>
      <c r="I417" s="20"/>
      <c r="J417" s="20"/>
      <c r="K417" s="20"/>
      <c r="L417" s="20"/>
      <c r="M417" s="20"/>
      <c r="N417" s="20"/>
      <c r="O417" s="20"/>
      <c r="P417" s="20"/>
      <c r="Q417" s="20"/>
      <c r="R417" s="20"/>
      <c r="S417" s="20"/>
      <c r="T417" s="20"/>
      <c r="U417" s="20"/>
      <c r="V417" s="20"/>
      <c r="W417" s="20"/>
      <c r="X417" s="20"/>
    </row>
    <row r="418" ht="12.0" customHeight="1">
      <c r="A418" s="20"/>
      <c r="B418" s="20"/>
      <c r="C418" s="20"/>
      <c r="D418" s="35"/>
      <c r="E418" s="20"/>
      <c r="F418" s="20"/>
      <c r="G418" s="20"/>
      <c r="H418" s="20"/>
      <c r="I418" s="20"/>
      <c r="J418" s="20"/>
      <c r="K418" s="20"/>
      <c r="L418" s="20"/>
      <c r="M418" s="20"/>
      <c r="N418" s="20"/>
      <c r="O418" s="20"/>
      <c r="P418" s="20"/>
      <c r="Q418" s="20"/>
      <c r="R418" s="20"/>
      <c r="S418" s="20"/>
      <c r="T418" s="20"/>
      <c r="U418" s="20"/>
      <c r="V418" s="20"/>
      <c r="W418" s="20"/>
      <c r="X418" s="20"/>
    </row>
    <row r="419" ht="12.0" customHeight="1">
      <c r="A419" s="20"/>
      <c r="B419" s="20"/>
      <c r="C419" s="20"/>
      <c r="D419" s="35"/>
      <c r="E419" s="20"/>
      <c r="F419" s="20"/>
      <c r="G419" s="20"/>
      <c r="H419" s="20"/>
      <c r="I419" s="20"/>
      <c r="J419" s="20"/>
      <c r="K419" s="20"/>
      <c r="L419" s="20"/>
      <c r="M419" s="20"/>
      <c r="N419" s="20"/>
      <c r="O419" s="20"/>
      <c r="P419" s="20"/>
      <c r="Q419" s="20"/>
      <c r="R419" s="20"/>
      <c r="S419" s="20"/>
      <c r="T419" s="20"/>
      <c r="U419" s="20"/>
      <c r="V419" s="20"/>
      <c r="W419" s="20"/>
      <c r="X419" s="20"/>
    </row>
    <row r="420" ht="12.0" customHeight="1">
      <c r="A420" s="20"/>
      <c r="B420" s="20"/>
      <c r="C420" s="20"/>
      <c r="D420" s="35"/>
      <c r="E420" s="20"/>
      <c r="F420" s="20"/>
      <c r="G420" s="20"/>
      <c r="H420" s="20"/>
      <c r="I420" s="20"/>
      <c r="J420" s="20"/>
      <c r="K420" s="20"/>
      <c r="L420" s="20"/>
      <c r="M420" s="20"/>
      <c r="N420" s="20"/>
      <c r="O420" s="20"/>
      <c r="P420" s="20"/>
      <c r="Q420" s="20"/>
      <c r="R420" s="20"/>
      <c r="S420" s="20"/>
      <c r="T420" s="20"/>
      <c r="U420" s="20"/>
      <c r="V420" s="20"/>
      <c r="W420" s="20"/>
      <c r="X420" s="20"/>
    </row>
    <row r="421" ht="12.0" customHeight="1">
      <c r="A421" s="20"/>
      <c r="B421" s="20"/>
      <c r="C421" s="20"/>
      <c r="D421" s="35"/>
      <c r="E421" s="20"/>
      <c r="F421" s="20"/>
      <c r="G421" s="20"/>
      <c r="H421" s="20"/>
      <c r="I421" s="20"/>
      <c r="J421" s="20"/>
      <c r="K421" s="20"/>
      <c r="L421" s="20"/>
      <c r="M421" s="20"/>
      <c r="N421" s="20"/>
      <c r="O421" s="20"/>
      <c r="P421" s="20"/>
      <c r="Q421" s="20"/>
      <c r="R421" s="20"/>
      <c r="S421" s="20"/>
      <c r="T421" s="20"/>
      <c r="U421" s="20"/>
      <c r="V421" s="20"/>
      <c r="W421" s="20"/>
      <c r="X421" s="20"/>
    </row>
    <row r="422" ht="12.0" customHeight="1">
      <c r="A422" s="20"/>
      <c r="B422" s="20"/>
      <c r="C422" s="20"/>
      <c r="D422" s="35"/>
      <c r="E422" s="20"/>
      <c r="F422" s="20"/>
      <c r="G422" s="20"/>
      <c r="H422" s="20"/>
      <c r="I422" s="20"/>
      <c r="J422" s="20"/>
      <c r="K422" s="20"/>
      <c r="L422" s="20"/>
      <c r="M422" s="20"/>
      <c r="N422" s="20"/>
      <c r="O422" s="20"/>
      <c r="P422" s="20"/>
      <c r="Q422" s="20"/>
      <c r="R422" s="20"/>
      <c r="S422" s="20"/>
      <c r="T422" s="20"/>
      <c r="U422" s="20"/>
      <c r="V422" s="20"/>
      <c r="W422" s="20"/>
      <c r="X422" s="20"/>
    </row>
    <row r="423" ht="12.0" customHeight="1">
      <c r="A423" s="20"/>
      <c r="B423" s="20"/>
      <c r="C423" s="20"/>
      <c r="D423" s="35"/>
      <c r="E423" s="20"/>
      <c r="F423" s="20"/>
      <c r="G423" s="20"/>
      <c r="H423" s="20"/>
      <c r="I423" s="20"/>
      <c r="J423" s="20"/>
      <c r="K423" s="20"/>
      <c r="L423" s="20"/>
      <c r="M423" s="20"/>
      <c r="N423" s="20"/>
      <c r="O423" s="20"/>
      <c r="P423" s="20"/>
      <c r="Q423" s="20"/>
      <c r="R423" s="20"/>
      <c r="S423" s="20"/>
      <c r="T423" s="20"/>
      <c r="U423" s="20"/>
      <c r="V423" s="20"/>
      <c r="W423" s="20"/>
      <c r="X423" s="20"/>
    </row>
    <row r="424" ht="12.0" customHeight="1">
      <c r="A424" s="20"/>
      <c r="B424" s="20"/>
      <c r="C424" s="20"/>
      <c r="D424" s="35"/>
      <c r="E424" s="20"/>
      <c r="F424" s="20"/>
      <c r="G424" s="20"/>
      <c r="H424" s="20"/>
      <c r="I424" s="20"/>
      <c r="J424" s="20"/>
      <c r="K424" s="20"/>
      <c r="L424" s="20"/>
      <c r="M424" s="20"/>
      <c r="N424" s="20"/>
      <c r="O424" s="20"/>
      <c r="P424" s="20"/>
      <c r="Q424" s="20"/>
      <c r="R424" s="20"/>
      <c r="S424" s="20"/>
      <c r="T424" s="20"/>
      <c r="U424" s="20"/>
      <c r="V424" s="20"/>
      <c r="W424" s="20"/>
      <c r="X424" s="20"/>
    </row>
    <row r="425" ht="12.0" customHeight="1">
      <c r="A425" s="20"/>
      <c r="B425" s="20"/>
      <c r="C425" s="20"/>
      <c r="D425" s="35"/>
      <c r="E425" s="20"/>
      <c r="F425" s="20"/>
      <c r="G425" s="20"/>
      <c r="H425" s="20"/>
      <c r="I425" s="20"/>
      <c r="J425" s="20"/>
      <c r="K425" s="20"/>
      <c r="L425" s="20"/>
      <c r="M425" s="20"/>
      <c r="N425" s="20"/>
      <c r="O425" s="20"/>
      <c r="P425" s="20"/>
      <c r="Q425" s="20"/>
      <c r="R425" s="20"/>
      <c r="S425" s="20"/>
      <c r="T425" s="20"/>
      <c r="U425" s="20"/>
      <c r="V425" s="20"/>
      <c r="W425" s="20"/>
      <c r="X425" s="20"/>
    </row>
    <row r="426" ht="12.0" customHeight="1">
      <c r="A426" s="20"/>
      <c r="B426" s="20"/>
      <c r="C426" s="20"/>
      <c r="D426" s="35"/>
      <c r="E426" s="20"/>
      <c r="F426" s="20"/>
      <c r="G426" s="20"/>
      <c r="H426" s="20"/>
      <c r="I426" s="20"/>
      <c r="J426" s="20"/>
      <c r="K426" s="20"/>
      <c r="L426" s="20"/>
      <c r="M426" s="20"/>
      <c r="N426" s="20"/>
      <c r="O426" s="20"/>
      <c r="P426" s="20"/>
      <c r="Q426" s="20"/>
      <c r="R426" s="20"/>
      <c r="S426" s="20"/>
      <c r="T426" s="20"/>
      <c r="U426" s="20"/>
      <c r="V426" s="20"/>
      <c r="W426" s="20"/>
      <c r="X426" s="20"/>
    </row>
    <row r="427" ht="12.0" customHeight="1">
      <c r="A427" s="20"/>
      <c r="B427" s="20"/>
      <c r="C427" s="20"/>
      <c r="D427" s="35"/>
      <c r="E427" s="20"/>
      <c r="F427" s="20"/>
      <c r="G427" s="20"/>
      <c r="H427" s="20"/>
      <c r="I427" s="20"/>
      <c r="J427" s="20"/>
      <c r="K427" s="20"/>
      <c r="L427" s="20"/>
      <c r="M427" s="20"/>
      <c r="N427" s="20"/>
      <c r="O427" s="20"/>
      <c r="P427" s="20"/>
      <c r="Q427" s="20"/>
      <c r="R427" s="20"/>
      <c r="S427" s="20"/>
      <c r="T427" s="20"/>
      <c r="U427" s="20"/>
      <c r="V427" s="20"/>
      <c r="W427" s="20"/>
      <c r="X427" s="20"/>
    </row>
    <row r="428" ht="12.0" customHeight="1">
      <c r="A428" s="20"/>
      <c r="B428" s="20"/>
      <c r="C428" s="20"/>
      <c r="D428" s="35"/>
      <c r="E428" s="20"/>
      <c r="F428" s="20"/>
      <c r="G428" s="20"/>
      <c r="H428" s="20"/>
      <c r="I428" s="20"/>
      <c r="J428" s="20"/>
      <c r="K428" s="20"/>
      <c r="L428" s="20"/>
      <c r="M428" s="20"/>
      <c r="N428" s="20"/>
      <c r="O428" s="20"/>
      <c r="P428" s="20"/>
      <c r="Q428" s="20"/>
      <c r="R428" s="20"/>
      <c r="S428" s="20"/>
      <c r="T428" s="20"/>
      <c r="U428" s="20"/>
      <c r="V428" s="20"/>
      <c r="W428" s="20"/>
      <c r="X428" s="20"/>
    </row>
    <row r="429" ht="12.0" customHeight="1">
      <c r="A429" s="20"/>
      <c r="B429" s="20"/>
      <c r="C429" s="20"/>
      <c r="D429" s="35"/>
      <c r="E429" s="20"/>
      <c r="F429" s="20"/>
      <c r="G429" s="20"/>
      <c r="H429" s="20"/>
      <c r="I429" s="20"/>
      <c r="J429" s="20"/>
      <c r="K429" s="20"/>
      <c r="L429" s="20"/>
      <c r="M429" s="20"/>
      <c r="N429" s="20"/>
      <c r="O429" s="20"/>
      <c r="P429" s="20"/>
      <c r="Q429" s="20"/>
      <c r="R429" s="20"/>
      <c r="S429" s="20"/>
      <c r="T429" s="20"/>
      <c r="U429" s="20"/>
      <c r="V429" s="20"/>
      <c r="W429" s="20"/>
      <c r="X429" s="20"/>
    </row>
    <row r="430" ht="12.0" customHeight="1">
      <c r="A430" s="20"/>
      <c r="B430" s="20"/>
      <c r="C430" s="20"/>
      <c r="D430" s="35"/>
      <c r="E430" s="20"/>
      <c r="F430" s="20"/>
      <c r="G430" s="20"/>
      <c r="H430" s="20"/>
      <c r="I430" s="20"/>
      <c r="J430" s="20"/>
      <c r="K430" s="20"/>
      <c r="L430" s="20"/>
      <c r="M430" s="20"/>
      <c r="N430" s="20"/>
      <c r="O430" s="20"/>
      <c r="P430" s="20"/>
      <c r="Q430" s="20"/>
      <c r="R430" s="20"/>
      <c r="S430" s="20"/>
      <c r="T430" s="20"/>
      <c r="U430" s="20"/>
      <c r="V430" s="20"/>
      <c r="W430" s="20"/>
      <c r="X430" s="20"/>
    </row>
    <row r="431" ht="12.0" customHeight="1">
      <c r="A431" s="20"/>
      <c r="B431" s="20"/>
      <c r="C431" s="20"/>
      <c r="D431" s="35"/>
      <c r="E431" s="20"/>
      <c r="F431" s="20"/>
      <c r="G431" s="20"/>
      <c r="H431" s="20"/>
      <c r="I431" s="20"/>
      <c r="J431" s="20"/>
      <c r="K431" s="20"/>
      <c r="L431" s="20"/>
      <c r="M431" s="20"/>
      <c r="N431" s="20"/>
      <c r="O431" s="20"/>
      <c r="P431" s="20"/>
      <c r="Q431" s="20"/>
      <c r="R431" s="20"/>
      <c r="S431" s="20"/>
      <c r="T431" s="20"/>
      <c r="U431" s="20"/>
      <c r="V431" s="20"/>
      <c r="W431" s="20"/>
      <c r="X431" s="20"/>
    </row>
    <row r="432" ht="12.0" customHeight="1">
      <c r="A432" s="20"/>
      <c r="B432" s="20"/>
      <c r="C432" s="20"/>
      <c r="D432" s="35"/>
      <c r="E432" s="20"/>
      <c r="F432" s="20"/>
      <c r="G432" s="20"/>
      <c r="H432" s="20"/>
      <c r="I432" s="20"/>
      <c r="J432" s="20"/>
      <c r="K432" s="20"/>
      <c r="L432" s="20"/>
      <c r="M432" s="20"/>
      <c r="N432" s="20"/>
      <c r="O432" s="20"/>
      <c r="P432" s="20"/>
      <c r="Q432" s="20"/>
      <c r="R432" s="20"/>
      <c r="S432" s="20"/>
      <c r="T432" s="20"/>
      <c r="U432" s="20"/>
      <c r="V432" s="20"/>
      <c r="W432" s="20"/>
      <c r="X432" s="20"/>
    </row>
    <row r="433" ht="12.0" customHeight="1">
      <c r="A433" s="20"/>
      <c r="B433" s="20"/>
      <c r="C433" s="20"/>
      <c r="D433" s="35"/>
      <c r="E433" s="20"/>
      <c r="F433" s="20"/>
      <c r="G433" s="20"/>
      <c r="H433" s="20"/>
      <c r="I433" s="20"/>
      <c r="J433" s="20"/>
      <c r="K433" s="20"/>
      <c r="L433" s="20"/>
      <c r="M433" s="20"/>
      <c r="N433" s="20"/>
      <c r="O433" s="20"/>
      <c r="P433" s="20"/>
      <c r="Q433" s="20"/>
      <c r="R433" s="20"/>
      <c r="S433" s="20"/>
      <c r="T433" s="20"/>
      <c r="U433" s="20"/>
      <c r="V433" s="20"/>
      <c r="W433" s="20"/>
      <c r="X433" s="20"/>
    </row>
    <row r="434" ht="12.0" customHeight="1">
      <c r="A434" s="20"/>
      <c r="B434" s="20"/>
      <c r="C434" s="20"/>
      <c r="D434" s="35"/>
      <c r="E434" s="20"/>
      <c r="F434" s="20"/>
      <c r="G434" s="20"/>
      <c r="H434" s="20"/>
      <c r="I434" s="20"/>
      <c r="J434" s="20"/>
      <c r="K434" s="20"/>
      <c r="L434" s="20"/>
      <c r="M434" s="20"/>
      <c r="N434" s="20"/>
      <c r="O434" s="20"/>
      <c r="P434" s="20"/>
      <c r="Q434" s="20"/>
      <c r="R434" s="20"/>
      <c r="S434" s="20"/>
      <c r="T434" s="20"/>
      <c r="U434" s="20"/>
      <c r="V434" s="20"/>
      <c r="W434" s="20"/>
      <c r="X434" s="20"/>
    </row>
    <row r="435" ht="12.0" customHeight="1">
      <c r="A435" s="20"/>
      <c r="B435" s="20"/>
      <c r="C435" s="20"/>
      <c r="D435" s="35"/>
      <c r="E435" s="20"/>
      <c r="F435" s="20"/>
      <c r="G435" s="20"/>
      <c r="H435" s="20"/>
      <c r="I435" s="20"/>
      <c r="J435" s="20"/>
      <c r="K435" s="20"/>
      <c r="L435" s="20"/>
      <c r="M435" s="20"/>
      <c r="N435" s="20"/>
      <c r="O435" s="20"/>
      <c r="P435" s="20"/>
      <c r="Q435" s="20"/>
      <c r="R435" s="20"/>
      <c r="S435" s="20"/>
      <c r="T435" s="20"/>
      <c r="U435" s="20"/>
      <c r="V435" s="20"/>
      <c r="W435" s="20"/>
      <c r="X435" s="20"/>
    </row>
    <row r="436" ht="12.0" customHeight="1">
      <c r="A436" s="20"/>
      <c r="B436" s="20"/>
      <c r="C436" s="20"/>
      <c r="D436" s="35"/>
      <c r="E436" s="20"/>
      <c r="F436" s="20"/>
      <c r="G436" s="20"/>
      <c r="H436" s="20"/>
      <c r="I436" s="20"/>
      <c r="J436" s="20"/>
      <c r="K436" s="20"/>
      <c r="L436" s="20"/>
      <c r="M436" s="20"/>
      <c r="N436" s="20"/>
      <c r="O436" s="20"/>
      <c r="P436" s="20"/>
      <c r="Q436" s="20"/>
      <c r="R436" s="20"/>
      <c r="S436" s="20"/>
      <c r="T436" s="20"/>
      <c r="U436" s="20"/>
      <c r="V436" s="20"/>
      <c r="W436" s="20"/>
      <c r="X436" s="20"/>
    </row>
    <row r="437" ht="12.0" customHeight="1">
      <c r="A437" s="20"/>
      <c r="B437" s="20"/>
      <c r="C437" s="20"/>
      <c r="D437" s="35"/>
      <c r="E437" s="20"/>
      <c r="F437" s="20"/>
      <c r="G437" s="20"/>
      <c r="H437" s="20"/>
      <c r="I437" s="20"/>
      <c r="J437" s="20"/>
      <c r="K437" s="20"/>
      <c r="L437" s="20"/>
      <c r="M437" s="20"/>
      <c r="N437" s="20"/>
      <c r="O437" s="20"/>
      <c r="P437" s="20"/>
      <c r="Q437" s="20"/>
      <c r="R437" s="20"/>
      <c r="S437" s="20"/>
      <c r="T437" s="20"/>
      <c r="U437" s="20"/>
      <c r="V437" s="20"/>
      <c r="W437" s="20"/>
      <c r="X437" s="20"/>
    </row>
    <row r="438" ht="12.0" customHeight="1">
      <c r="A438" s="20"/>
      <c r="B438" s="20"/>
      <c r="C438" s="20"/>
      <c r="D438" s="35"/>
      <c r="E438" s="20"/>
      <c r="F438" s="20"/>
      <c r="G438" s="20"/>
      <c r="H438" s="20"/>
      <c r="I438" s="20"/>
      <c r="J438" s="20"/>
      <c r="K438" s="20"/>
      <c r="L438" s="20"/>
      <c r="M438" s="20"/>
      <c r="N438" s="20"/>
      <c r="O438" s="20"/>
      <c r="P438" s="20"/>
      <c r="Q438" s="20"/>
      <c r="R438" s="20"/>
      <c r="S438" s="20"/>
      <c r="T438" s="20"/>
      <c r="U438" s="20"/>
      <c r="V438" s="20"/>
      <c r="W438" s="20"/>
      <c r="X438" s="20"/>
    </row>
    <row r="439" ht="12.0" customHeight="1">
      <c r="A439" s="20"/>
      <c r="B439" s="20"/>
      <c r="C439" s="20"/>
      <c r="D439" s="35"/>
      <c r="E439" s="20"/>
      <c r="F439" s="20"/>
      <c r="G439" s="20"/>
      <c r="H439" s="20"/>
      <c r="I439" s="20"/>
      <c r="J439" s="20"/>
      <c r="K439" s="20"/>
      <c r="L439" s="20"/>
      <c r="M439" s="20"/>
      <c r="N439" s="20"/>
      <c r="O439" s="20"/>
      <c r="P439" s="20"/>
      <c r="Q439" s="20"/>
      <c r="R439" s="20"/>
      <c r="S439" s="20"/>
      <c r="T439" s="20"/>
      <c r="U439" s="20"/>
      <c r="V439" s="20"/>
      <c r="W439" s="20"/>
      <c r="X439" s="20"/>
    </row>
    <row r="440" ht="12.0" customHeight="1">
      <c r="A440" s="20"/>
      <c r="B440" s="20"/>
      <c r="C440" s="20"/>
      <c r="D440" s="35"/>
      <c r="E440" s="20"/>
      <c r="F440" s="20"/>
      <c r="G440" s="20"/>
      <c r="H440" s="20"/>
      <c r="I440" s="20"/>
      <c r="J440" s="20"/>
      <c r="K440" s="20"/>
      <c r="L440" s="20"/>
      <c r="M440" s="20"/>
      <c r="N440" s="20"/>
      <c r="O440" s="20"/>
      <c r="P440" s="20"/>
      <c r="Q440" s="20"/>
      <c r="R440" s="20"/>
      <c r="S440" s="20"/>
      <c r="T440" s="20"/>
      <c r="U440" s="20"/>
      <c r="V440" s="20"/>
      <c r="W440" s="20"/>
      <c r="X440" s="20"/>
    </row>
    <row r="441" ht="12.0" customHeight="1">
      <c r="A441" s="20"/>
      <c r="B441" s="20"/>
      <c r="C441" s="20"/>
      <c r="D441" s="35"/>
      <c r="E441" s="20"/>
      <c r="F441" s="20"/>
      <c r="G441" s="20"/>
      <c r="H441" s="20"/>
      <c r="I441" s="20"/>
      <c r="J441" s="20"/>
      <c r="K441" s="20"/>
      <c r="L441" s="20"/>
      <c r="M441" s="20"/>
      <c r="N441" s="20"/>
      <c r="O441" s="20"/>
      <c r="P441" s="20"/>
      <c r="Q441" s="20"/>
      <c r="R441" s="20"/>
      <c r="S441" s="20"/>
      <c r="T441" s="20"/>
      <c r="U441" s="20"/>
      <c r="V441" s="20"/>
      <c r="W441" s="20"/>
      <c r="X441" s="20"/>
    </row>
    <row r="442" ht="12.0" customHeight="1">
      <c r="A442" s="20"/>
      <c r="B442" s="20"/>
      <c r="C442" s="20"/>
      <c r="D442" s="35"/>
      <c r="E442" s="20"/>
      <c r="F442" s="20"/>
      <c r="G442" s="20"/>
      <c r="H442" s="20"/>
      <c r="I442" s="20"/>
      <c r="J442" s="20"/>
      <c r="K442" s="20"/>
      <c r="L442" s="20"/>
      <c r="M442" s="20"/>
      <c r="N442" s="20"/>
      <c r="O442" s="20"/>
      <c r="P442" s="20"/>
      <c r="Q442" s="20"/>
      <c r="R442" s="20"/>
      <c r="S442" s="20"/>
      <c r="T442" s="20"/>
      <c r="U442" s="20"/>
      <c r="V442" s="20"/>
      <c r="W442" s="20"/>
      <c r="X442" s="20"/>
    </row>
    <row r="443" ht="12.0" customHeight="1">
      <c r="A443" s="20"/>
      <c r="B443" s="20"/>
      <c r="C443" s="20"/>
      <c r="D443" s="35"/>
      <c r="E443" s="20"/>
      <c r="F443" s="20"/>
      <c r="G443" s="20"/>
      <c r="H443" s="20"/>
      <c r="I443" s="20"/>
      <c r="J443" s="20"/>
      <c r="K443" s="20"/>
      <c r="L443" s="20"/>
      <c r="M443" s="20"/>
      <c r="N443" s="20"/>
      <c r="O443" s="20"/>
      <c r="P443" s="20"/>
      <c r="Q443" s="20"/>
      <c r="R443" s="20"/>
      <c r="S443" s="20"/>
      <c r="T443" s="20"/>
      <c r="U443" s="20"/>
      <c r="V443" s="20"/>
      <c r="W443" s="20"/>
      <c r="X443" s="20"/>
    </row>
    <row r="444" ht="12.0" customHeight="1">
      <c r="A444" s="20"/>
      <c r="B444" s="20"/>
      <c r="C444" s="20"/>
      <c r="D444" s="35"/>
      <c r="E444" s="20"/>
      <c r="F444" s="20"/>
      <c r="G444" s="20"/>
      <c r="H444" s="20"/>
      <c r="I444" s="20"/>
      <c r="J444" s="20"/>
      <c r="K444" s="20"/>
      <c r="L444" s="20"/>
      <c r="M444" s="20"/>
      <c r="N444" s="20"/>
      <c r="O444" s="20"/>
      <c r="P444" s="20"/>
      <c r="Q444" s="20"/>
      <c r="R444" s="20"/>
      <c r="S444" s="20"/>
      <c r="T444" s="20"/>
      <c r="U444" s="20"/>
      <c r="V444" s="20"/>
      <c r="W444" s="20"/>
      <c r="X444" s="20"/>
    </row>
    <row r="445" ht="12.0" customHeight="1">
      <c r="A445" s="20"/>
      <c r="B445" s="20"/>
      <c r="C445" s="20"/>
      <c r="D445" s="35"/>
      <c r="E445" s="20"/>
      <c r="F445" s="20"/>
      <c r="G445" s="20"/>
      <c r="H445" s="20"/>
      <c r="I445" s="20"/>
      <c r="J445" s="20"/>
      <c r="K445" s="20"/>
      <c r="L445" s="20"/>
      <c r="M445" s="20"/>
      <c r="N445" s="20"/>
      <c r="O445" s="20"/>
      <c r="P445" s="20"/>
      <c r="Q445" s="20"/>
      <c r="R445" s="20"/>
      <c r="S445" s="20"/>
      <c r="T445" s="20"/>
      <c r="U445" s="20"/>
      <c r="V445" s="20"/>
      <c r="W445" s="20"/>
      <c r="X445" s="20"/>
    </row>
    <row r="446" ht="12.0" customHeight="1">
      <c r="A446" s="20"/>
      <c r="B446" s="20"/>
      <c r="C446" s="20"/>
      <c r="D446" s="35"/>
      <c r="E446" s="20"/>
      <c r="F446" s="20"/>
      <c r="G446" s="20"/>
      <c r="H446" s="20"/>
      <c r="I446" s="20"/>
      <c r="J446" s="20"/>
      <c r="K446" s="20"/>
      <c r="L446" s="20"/>
      <c r="M446" s="20"/>
      <c r="N446" s="20"/>
      <c r="O446" s="20"/>
      <c r="P446" s="20"/>
      <c r="Q446" s="20"/>
      <c r="R446" s="20"/>
      <c r="S446" s="20"/>
      <c r="T446" s="20"/>
      <c r="U446" s="20"/>
      <c r="V446" s="20"/>
      <c r="W446" s="20"/>
      <c r="X446" s="20"/>
    </row>
    <row r="447" ht="12.0" customHeight="1">
      <c r="A447" s="20"/>
      <c r="B447" s="20"/>
      <c r="C447" s="20"/>
      <c r="D447" s="35"/>
      <c r="E447" s="20"/>
      <c r="F447" s="20"/>
      <c r="G447" s="20"/>
      <c r="H447" s="20"/>
      <c r="I447" s="20"/>
      <c r="J447" s="20"/>
      <c r="K447" s="20"/>
      <c r="L447" s="20"/>
      <c r="M447" s="20"/>
      <c r="N447" s="20"/>
      <c r="O447" s="20"/>
      <c r="P447" s="20"/>
      <c r="Q447" s="20"/>
      <c r="R447" s="20"/>
      <c r="S447" s="20"/>
      <c r="T447" s="20"/>
      <c r="U447" s="20"/>
      <c r="V447" s="20"/>
      <c r="W447" s="20"/>
      <c r="X447" s="20"/>
    </row>
    <row r="448" ht="12.0" customHeight="1">
      <c r="A448" s="20"/>
      <c r="B448" s="20"/>
      <c r="C448" s="20"/>
      <c r="D448" s="35"/>
      <c r="E448" s="20"/>
      <c r="F448" s="20"/>
      <c r="G448" s="20"/>
      <c r="H448" s="20"/>
      <c r="I448" s="20"/>
      <c r="J448" s="20"/>
      <c r="K448" s="20"/>
      <c r="L448" s="20"/>
      <c r="M448" s="20"/>
      <c r="N448" s="20"/>
      <c r="O448" s="20"/>
      <c r="P448" s="20"/>
      <c r="Q448" s="20"/>
      <c r="R448" s="20"/>
      <c r="S448" s="20"/>
      <c r="T448" s="20"/>
      <c r="U448" s="20"/>
      <c r="V448" s="20"/>
      <c r="W448" s="20"/>
      <c r="X448" s="20"/>
    </row>
    <row r="449" ht="12.0" customHeight="1">
      <c r="A449" s="20"/>
      <c r="B449" s="20"/>
      <c r="C449" s="20"/>
      <c r="D449" s="35"/>
      <c r="E449" s="20"/>
      <c r="F449" s="20"/>
      <c r="G449" s="20"/>
      <c r="H449" s="20"/>
      <c r="I449" s="20"/>
      <c r="J449" s="20"/>
      <c r="K449" s="20"/>
      <c r="L449" s="20"/>
      <c r="M449" s="20"/>
      <c r="N449" s="20"/>
      <c r="O449" s="20"/>
      <c r="P449" s="20"/>
      <c r="Q449" s="20"/>
      <c r="R449" s="20"/>
      <c r="S449" s="20"/>
      <c r="T449" s="20"/>
      <c r="U449" s="20"/>
      <c r="V449" s="20"/>
      <c r="W449" s="20"/>
      <c r="X449" s="20"/>
    </row>
    <row r="450" ht="12.0" customHeight="1">
      <c r="A450" s="20"/>
      <c r="B450" s="20"/>
      <c r="C450" s="20"/>
      <c r="D450" s="35"/>
      <c r="E450" s="20"/>
      <c r="F450" s="20"/>
      <c r="G450" s="20"/>
      <c r="H450" s="20"/>
      <c r="I450" s="20"/>
      <c r="J450" s="20"/>
      <c r="K450" s="20"/>
      <c r="L450" s="20"/>
      <c r="M450" s="20"/>
      <c r="N450" s="20"/>
      <c r="O450" s="20"/>
      <c r="P450" s="20"/>
      <c r="Q450" s="20"/>
      <c r="R450" s="20"/>
      <c r="S450" s="20"/>
      <c r="T450" s="20"/>
      <c r="U450" s="20"/>
      <c r="V450" s="20"/>
      <c r="W450" s="20"/>
      <c r="X450" s="20"/>
    </row>
    <row r="451" ht="12.0" customHeight="1">
      <c r="A451" s="20"/>
      <c r="B451" s="20"/>
      <c r="C451" s="20"/>
      <c r="D451" s="35"/>
      <c r="E451" s="20"/>
      <c r="F451" s="20"/>
      <c r="G451" s="20"/>
      <c r="H451" s="20"/>
      <c r="I451" s="20"/>
      <c r="J451" s="20"/>
      <c r="K451" s="20"/>
      <c r="L451" s="20"/>
      <c r="M451" s="20"/>
      <c r="N451" s="20"/>
      <c r="O451" s="20"/>
      <c r="P451" s="20"/>
      <c r="Q451" s="20"/>
      <c r="R451" s="20"/>
      <c r="S451" s="20"/>
      <c r="T451" s="20"/>
      <c r="U451" s="20"/>
      <c r="V451" s="20"/>
      <c r="W451" s="20"/>
      <c r="X451" s="20"/>
    </row>
    <row r="452" ht="12.0" customHeight="1">
      <c r="A452" s="20"/>
      <c r="B452" s="20"/>
      <c r="C452" s="20"/>
      <c r="D452" s="35"/>
      <c r="E452" s="20"/>
      <c r="F452" s="20"/>
      <c r="G452" s="20"/>
      <c r="H452" s="20"/>
      <c r="I452" s="20"/>
      <c r="J452" s="20"/>
      <c r="K452" s="20"/>
      <c r="L452" s="20"/>
      <c r="M452" s="20"/>
      <c r="N452" s="20"/>
      <c r="O452" s="20"/>
      <c r="P452" s="20"/>
      <c r="Q452" s="20"/>
      <c r="R452" s="20"/>
      <c r="S452" s="20"/>
      <c r="T452" s="20"/>
      <c r="U452" s="20"/>
      <c r="V452" s="20"/>
      <c r="W452" s="20"/>
      <c r="X452" s="20"/>
    </row>
    <row r="453" ht="12.0" customHeight="1">
      <c r="A453" s="20"/>
      <c r="B453" s="20"/>
      <c r="C453" s="20"/>
      <c r="D453" s="35"/>
      <c r="E453" s="20"/>
      <c r="F453" s="20"/>
      <c r="G453" s="20"/>
      <c r="H453" s="20"/>
      <c r="I453" s="20"/>
      <c r="J453" s="20"/>
      <c r="K453" s="20"/>
      <c r="L453" s="20"/>
      <c r="M453" s="20"/>
      <c r="N453" s="20"/>
      <c r="O453" s="20"/>
      <c r="P453" s="20"/>
      <c r="Q453" s="20"/>
      <c r="R453" s="20"/>
      <c r="S453" s="20"/>
      <c r="T453" s="20"/>
      <c r="U453" s="20"/>
      <c r="V453" s="20"/>
      <c r="W453" s="20"/>
      <c r="X453" s="20"/>
    </row>
    <row r="454" ht="12.0" customHeight="1">
      <c r="A454" s="20"/>
      <c r="B454" s="20"/>
      <c r="C454" s="20"/>
      <c r="D454" s="35"/>
      <c r="E454" s="20"/>
      <c r="F454" s="20"/>
      <c r="G454" s="20"/>
      <c r="H454" s="20"/>
      <c r="I454" s="20"/>
      <c r="J454" s="20"/>
      <c r="K454" s="20"/>
      <c r="L454" s="20"/>
      <c r="M454" s="20"/>
      <c r="N454" s="20"/>
      <c r="O454" s="20"/>
      <c r="P454" s="20"/>
      <c r="Q454" s="20"/>
      <c r="R454" s="20"/>
      <c r="S454" s="20"/>
      <c r="T454" s="20"/>
      <c r="U454" s="20"/>
      <c r="V454" s="20"/>
      <c r="W454" s="20"/>
      <c r="X454" s="20"/>
    </row>
    <row r="455" ht="12.0" customHeight="1">
      <c r="A455" s="20"/>
      <c r="B455" s="20"/>
      <c r="C455" s="20"/>
      <c r="D455" s="35"/>
      <c r="E455" s="20"/>
      <c r="F455" s="20"/>
      <c r="G455" s="20"/>
      <c r="H455" s="20"/>
      <c r="I455" s="20"/>
      <c r="J455" s="20"/>
      <c r="K455" s="20"/>
      <c r="L455" s="20"/>
      <c r="M455" s="20"/>
      <c r="N455" s="20"/>
      <c r="O455" s="20"/>
      <c r="P455" s="20"/>
      <c r="Q455" s="20"/>
      <c r="R455" s="20"/>
      <c r="S455" s="20"/>
      <c r="T455" s="20"/>
      <c r="U455" s="20"/>
      <c r="V455" s="20"/>
      <c r="W455" s="20"/>
      <c r="X455" s="20"/>
    </row>
    <row r="456" ht="12.0" customHeight="1">
      <c r="A456" s="20"/>
      <c r="B456" s="20"/>
      <c r="C456" s="20"/>
      <c r="D456" s="35"/>
      <c r="E456" s="20"/>
      <c r="F456" s="20"/>
      <c r="G456" s="20"/>
      <c r="H456" s="20"/>
      <c r="I456" s="20"/>
      <c r="J456" s="20"/>
      <c r="K456" s="20"/>
      <c r="L456" s="20"/>
      <c r="M456" s="20"/>
      <c r="N456" s="20"/>
      <c r="O456" s="20"/>
      <c r="P456" s="20"/>
      <c r="Q456" s="20"/>
      <c r="R456" s="20"/>
      <c r="S456" s="20"/>
      <c r="T456" s="20"/>
      <c r="U456" s="20"/>
      <c r="V456" s="20"/>
      <c r="W456" s="20"/>
      <c r="X456" s="20"/>
    </row>
    <row r="457" ht="12.0" customHeight="1">
      <c r="A457" s="20"/>
      <c r="B457" s="20"/>
      <c r="C457" s="20"/>
      <c r="D457" s="35"/>
      <c r="E457" s="20"/>
      <c r="F457" s="20"/>
      <c r="G457" s="20"/>
      <c r="H457" s="20"/>
      <c r="I457" s="20"/>
      <c r="J457" s="20"/>
      <c r="K457" s="20"/>
      <c r="L457" s="20"/>
      <c r="M457" s="20"/>
      <c r="N457" s="20"/>
      <c r="O457" s="20"/>
      <c r="P457" s="20"/>
      <c r="Q457" s="20"/>
      <c r="R457" s="20"/>
      <c r="S457" s="20"/>
      <c r="T457" s="20"/>
      <c r="U457" s="20"/>
      <c r="V457" s="20"/>
      <c r="W457" s="20"/>
      <c r="X457" s="20"/>
    </row>
    <row r="458" ht="12.0" customHeight="1">
      <c r="A458" s="20"/>
      <c r="B458" s="20"/>
      <c r="C458" s="20"/>
      <c r="D458" s="35"/>
      <c r="E458" s="20"/>
      <c r="F458" s="20"/>
      <c r="G458" s="20"/>
      <c r="H458" s="20"/>
      <c r="I458" s="20"/>
      <c r="J458" s="20"/>
      <c r="K458" s="20"/>
      <c r="L458" s="20"/>
      <c r="M458" s="20"/>
      <c r="N458" s="20"/>
      <c r="O458" s="20"/>
      <c r="P458" s="20"/>
      <c r="Q458" s="20"/>
      <c r="R458" s="20"/>
      <c r="S458" s="20"/>
      <c r="T458" s="20"/>
      <c r="U458" s="20"/>
      <c r="V458" s="20"/>
      <c r="W458" s="20"/>
      <c r="X458" s="20"/>
    </row>
    <row r="459" ht="12.0" customHeight="1">
      <c r="A459" s="20"/>
      <c r="B459" s="20"/>
      <c r="C459" s="20"/>
      <c r="D459" s="35"/>
      <c r="E459" s="20"/>
      <c r="F459" s="20"/>
      <c r="G459" s="20"/>
      <c r="H459" s="20"/>
      <c r="I459" s="20"/>
      <c r="J459" s="20"/>
      <c r="K459" s="20"/>
      <c r="L459" s="20"/>
      <c r="M459" s="20"/>
      <c r="N459" s="20"/>
      <c r="O459" s="20"/>
      <c r="P459" s="20"/>
      <c r="Q459" s="20"/>
      <c r="R459" s="20"/>
      <c r="S459" s="20"/>
      <c r="T459" s="20"/>
      <c r="U459" s="20"/>
      <c r="V459" s="20"/>
      <c r="W459" s="20"/>
      <c r="X459" s="20"/>
    </row>
    <row r="460" ht="12.0" customHeight="1">
      <c r="A460" s="20"/>
      <c r="B460" s="20"/>
      <c r="C460" s="20"/>
      <c r="D460" s="35"/>
      <c r="E460" s="20"/>
      <c r="F460" s="20"/>
      <c r="G460" s="20"/>
      <c r="H460" s="20"/>
      <c r="I460" s="20"/>
      <c r="J460" s="20"/>
      <c r="K460" s="20"/>
      <c r="L460" s="20"/>
      <c r="M460" s="20"/>
      <c r="N460" s="20"/>
      <c r="O460" s="20"/>
      <c r="P460" s="20"/>
      <c r="Q460" s="20"/>
      <c r="R460" s="20"/>
      <c r="S460" s="20"/>
      <c r="T460" s="20"/>
      <c r="U460" s="20"/>
      <c r="V460" s="20"/>
      <c r="W460" s="20"/>
      <c r="X460" s="20"/>
    </row>
    <row r="461" ht="12.0" customHeight="1">
      <c r="A461" s="20"/>
      <c r="B461" s="20"/>
      <c r="C461" s="20"/>
      <c r="D461" s="35"/>
      <c r="E461" s="20"/>
      <c r="F461" s="20"/>
      <c r="G461" s="20"/>
      <c r="H461" s="20"/>
      <c r="I461" s="20"/>
      <c r="J461" s="20"/>
      <c r="K461" s="20"/>
      <c r="L461" s="20"/>
      <c r="M461" s="20"/>
      <c r="N461" s="20"/>
      <c r="O461" s="20"/>
      <c r="P461" s="20"/>
      <c r="Q461" s="20"/>
      <c r="R461" s="20"/>
      <c r="S461" s="20"/>
      <c r="T461" s="20"/>
      <c r="U461" s="20"/>
      <c r="V461" s="20"/>
      <c r="W461" s="20"/>
      <c r="X461" s="20"/>
    </row>
    <row r="462" ht="12.0" customHeight="1">
      <c r="A462" s="20"/>
      <c r="B462" s="20"/>
      <c r="C462" s="20"/>
      <c r="D462" s="35"/>
      <c r="E462" s="20"/>
      <c r="F462" s="20"/>
      <c r="G462" s="20"/>
      <c r="H462" s="20"/>
      <c r="I462" s="20"/>
      <c r="J462" s="20"/>
      <c r="K462" s="20"/>
      <c r="L462" s="20"/>
      <c r="M462" s="20"/>
      <c r="N462" s="20"/>
      <c r="O462" s="20"/>
      <c r="P462" s="20"/>
      <c r="Q462" s="20"/>
      <c r="R462" s="20"/>
      <c r="S462" s="20"/>
      <c r="T462" s="20"/>
      <c r="U462" s="20"/>
      <c r="V462" s="20"/>
      <c r="W462" s="20"/>
      <c r="X462" s="20"/>
    </row>
    <row r="463" ht="12.0" customHeight="1">
      <c r="A463" s="20"/>
      <c r="B463" s="20"/>
      <c r="C463" s="20"/>
      <c r="D463" s="35"/>
      <c r="E463" s="20"/>
      <c r="F463" s="20"/>
      <c r="G463" s="20"/>
      <c r="H463" s="20"/>
      <c r="I463" s="20"/>
      <c r="J463" s="20"/>
      <c r="K463" s="20"/>
      <c r="L463" s="20"/>
      <c r="M463" s="20"/>
      <c r="N463" s="20"/>
      <c r="O463" s="20"/>
      <c r="P463" s="20"/>
      <c r="Q463" s="20"/>
      <c r="R463" s="20"/>
      <c r="S463" s="20"/>
      <c r="T463" s="20"/>
      <c r="U463" s="20"/>
      <c r="V463" s="20"/>
      <c r="W463" s="20"/>
      <c r="X463" s="20"/>
    </row>
    <row r="464" ht="12.0" customHeight="1">
      <c r="A464" s="20"/>
      <c r="B464" s="20"/>
      <c r="C464" s="20"/>
      <c r="D464" s="35"/>
      <c r="E464" s="20"/>
      <c r="F464" s="20"/>
      <c r="G464" s="20"/>
      <c r="H464" s="20"/>
      <c r="I464" s="20"/>
      <c r="J464" s="20"/>
      <c r="K464" s="20"/>
      <c r="L464" s="20"/>
      <c r="M464" s="20"/>
      <c r="N464" s="20"/>
      <c r="O464" s="20"/>
      <c r="P464" s="20"/>
      <c r="Q464" s="20"/>
      <c r="R464" s="20"/>
      <c r="S464" s="20"/>
      <c r="T464" s="20"/>
      <c r="U464" s="20"/>
      <c r="V464" s="20"/>
      <c r="W464" s="20"/>
      <c r="X464" s="20"/>
    </row>
    <row r="465" ht="12.0" customHeight="1">
      <c r="A465" s="20"/>
      <c r="B465" s="20"/>
      <c r="C465" s="20"/>
      <c r="D465" s="35"/>
      <c r="E465" s="20"/>
      <c r="F465" s="20"/>
      <c r="G465" s="20"/>
      <c r="H465" s="20"/>
      <c r="I465" s="20"/>
      <c r="J465" s="20"/>
      <c r="K465" s="20"/>
      <c r="L465" s="20"/>
      <c r="M465" s="20"/>
      <c r="N465" s="20"/>
      <c r="O465" s="20"/>
      <c r="P465" s="20"/>
      <c r="Q465" s="20"/>
      <c r="R465" s="20"/>
      <c r="S465" s="20"/>
      <c r="T465" s="20"/>
      <c r="U465" s="20"/>
      <c r="V465" s="20"/>
      <c r="W465" s="20"/>
      <c r="X465" s="20"/>
    </row>
    <row r="466" ht="12.0" customHeight="1">
      <c r="A466" s="20"/>
      <c r="B466" s="20"/>
      <c r="C466" s="20"/>
      <c r="D466" s="35"/>
      <c r="E466" s="20"/>
      <c r="F466" s="20"/>
      <c r="G466" s="20"/>
      <c r="H466" s="20"/>
      <c r="I466" s="20"/>
      <c r="J466" s="20"/>
      <c r="K466" s="20"/>
      <c r="L466" s="20"/>
      <c r="M466" s="20"/>
      <c r="N466" s="20"/>
      <c r="O466" s="20"/>
      <c r="P466" s="20"/>
      <c r="Q466" s="20"/>
      <c r="R466" s="20"/>
      <c r="S466" s="20"/>
      <c r="T466" s="20"/>
      <c r="U466" s="20"/>
      <c r="V466" s="20"/>
      <c r="W466" s="20"/>
      <c r="X466" s="20"/>
    </row>
    <row r="467" ht="12.0" customHeight="1">
      <c r="A467" s="20"/>
      <c r="B467" s="20"/>
      <c r="C467" s="20"/>
      <c r="D467" s="35"/>
      <c r="E467" s="20"/>
      <c r="F467" s="20"/>
      <c r="G467" s="20"/>
      <c r="H467" s="20"/>
      <c r="I467" s="20"/>
      <c r="J467" s="20"/>
      <c r="K467" s="20"/>
      <c r="L467" s="20"/>
      <c r="M467" s="20"/>
      <c r="N467" s="20"/>
      <c r="O467" s="20"/>
      <c r="P467" s="20"/>
      <c r="Q467" s="20"/>
      <c r="R467" s="20"/>
      <c r="S467" s="20"/>
      <c r="T467" s="20"/>
      <c r="U467" s="20"/>
      <c r="V467" s="20"/>
      <c r="W467" s="20"/>
      <c r="X467" s="20"/>
    </row>
    <row r="468" ht="12.0" customHeight="1">
      <c r="A468" s="20"/>
      <c r="B468" s="20"/>
      <c r="C468" s="20"/>
      <c r="D468" s="35"/>
      <c r="E468" s="20"/>
      <c r="F468" s="20"/>
      <c r="G468" s="20"/>
      <c r="H468" s="20"/>
      <c r="I468" s="20"/>
      <c r="J468" s="20"/>
      <c r="K468" s="20"/>
      <c r="L468" s="20"/>
      <c r="M468" s="20"/>
      <c r="N468" s="20"/>
      <c r="O468" s="20"/>
      <c r="P468" s="20"/>
      <c r="Q468" s="20"/>
      <c r="R468" s="20"/>
      <c r="S468" s="20"/>
      <c r="T468" s="20"/>
      <c r="U468" s="20"/>
      <c r="V468" s="20"/>
      <c r="W468" s="20"/>
      <c r="X468" s="20"/>
    </row>
    <row r="469" ht="12.0" customHeight="1">
      <c r="A469" s="20"/>
      <c r="B469" s="20"/>
      <c r="C469" s="20"/>
      <c r="D469" s="35"/>
      <c r="E469" s="20"/>
      <c r="F469" s="20"/>
      <c r="G469" s="20"/>
      <c r="H469" s="20"/>
      <c r="I469" s="20"/>
      <c r="J469" s="20"/>
      <c r="K469" s="20"/>
      <c r="L469" s="20"/>
      <c r="M469" s="20"/>
      <c r="N469" s="20"/>
      <c r="O469" s="20"/>
      <c r="P469" s="20"/>
      <c r="Q469" s="20"/>
      <c r="R469" s="20"/>
      <c r="S469" s="20"/>
      <c r="T469" s="20"/>
      <c r="U469" s="20"/>
      <c r="V469" s="20"/>
      <c r="W469" s="20"/>
      <c r="X469" s="20"/>
    </row>
    <row r="470" ht="12.0" customHeight="1">
      <c r="A470" s="20"/>
      <c r="B470" s="20"/>
      <c r="C470" s="20"/>
      <c r="D470" s="35"/>
      <c r="E470" s="20"/>
      <c r="F470" s="20"/>
      <c r="G470" s="20"/>
      <c r="H470" s="20"/>
      <c r="I470" s="20"/>
      <c r="J470" s="20"/>
      <c r="K470" s="20"/>
      <c r="L470" s="20"/>
      <c r="M470" s="20"/>
      <c r="N470" s="20"/>
      <c r="O470" s="20"/>
      <c r="P470" s="20"/>
      <c r="Q470" s="20"/>
      <c r="R470" s="20"/>
      <c r="S470" s="20"/>
      <c r="T470" s="20"/>
      <c r="U470" s="20"/>
      <c r="V470" s="20"/>
      <c r="W470" s="20"/>
      <c r="X470" s="20"/>
    </row>
    <row r="471" ht="12.0" customHeight="1">
      <c r="A471" s="20"/>
      <c r="B471" s="20"/>
      <c r="C471" s="20"/>
      <c r="D471" s="35"/>
      <c r="E471" s="20"/>
      <c r="F471" s="20"/>
      <c r="G471" s="20"/>
      <c r="H471" s="20"/>
      <c r="I471" s="20"/>
      <c r="J471" s="20"/>
      <c r="K471" s="20"/>
      <c r="L471" s="20"/>
      <c r="M471" s="20"/>
      <c r="N471" s="20"/>
      <c r="O471" s="20"/>
      <c r="P471" s="20"/>
      <c r="Q471" s="20"/>
      <c r="R471" s="20"/>
      <c r="S471" s="20"/>
      <c r="T471" s="20"/>
      <c r="U471" s="20"/>
      <c r="V471" s="20"/>
      <c r="W471" s="20"/>
      <c r="X471" s="20"/>
    </row>
    <row r="472" ht="12.0" customHeight="1">
      <c r="A472" s="20"/>
      <c r="B472" s="20"/>
      <c r="C472" s="20"/>
      <c r="D472" s="35"/>
      <c r="E472" s="20"/>
      <c r="F472" s="20"/>
      <c r="G472" s="20"/>
      <c r="H472" s="20"/>
      <c r="I472" s="20"/>
      <c r="J472" s="20"/>
      <c r="K472" s="20"/>
      <c r="L472" s="20"/>
      <c r="M472" s="20"/>
      <c r="N472" s="20"/>
      <c r="O472" s="20"/>
      <c r="P472" s="20"/>
      <c r="Q472" s="20"/>
      <c r="R472" s="20"/>
      <c r="S472" s="20"/>
      <c r="T472" s="20"/>
      <c r="U472" s="20"/>
      <c r="V472" s="20"/>
      <c r="W472" s="20"/>
      <c r="X472" s="20"/>
    </row>
    <row r="473" ht="12.0" customHeight="1">
      <c r="A473" s="20"/>
      <c r="B473" s="20"/>
      <c r="C473" s="20"/>
      <c r="D473" s="35"/>
      <c r="E473" s="20"/>
      <c r="F473" s="20"/>
      <c r="G473" s="20"/>
      <c r="H473" s="20"/>
      <c r="I473" s="20"/>
      <c r="J473" s="20"/>
      <c r="K473" s="20"/>
      <c r="L473" s="20"/>
      <c r="M473" s="20"/>
      <c r="N473" s="20"/>
      <c r="O473" s="20"/>
      <c r="P473" s="20"/>
      <c r="Q473" s="20"/>
      <c r="R473" s="20"/>
      <c r="S473" s="20"/>
      <c r="T473" s="20"/>
      <c r="U473" s="20"/>
      <c r="V473" s="20"/>
      <c r="W473" s="20"/>
      <c r="X473" s="20"/>
    </row>
    <row r="474" ht="12.0" customHeight="1">
      <c r="A474" s="20"/>
      <c r="B474" s="20"/>
      <c r="C474" s="20"/>
      <c r="D474" s="35"/>
      <c r="E474" s="20"/>
      <c r="F474" s="20"/>
      <c r="G474" s="20"/>
      <c r="H474" s="20"/>
      <c r="I474" s="20"/>
      <c r="J474" s="20"/>
      <c r="K474" s="20"/>
      <c r="L474" s="20"/>
      <c r="M474" s="20"/>
      <c r="N474" s="20"/>
      <c r="O474" s="20"/>
      <c r="P474" s="20"/>
      <c r="Q474" s="20"/>
      <c r="R474" s="20"/>
      <c r="S474" s="20"/>
      <c r="T474" s="20"/>
      <c r="U474" s="20"/>
      <c r="V474" s="20"/>
      <c r="W474" s="20"/>
      <c r="X474" s="20"/>
    </row>
    <row r="475" ht="12.0" customHeight="1">
      <c r="A475" s="20"/>
      <c r="B475" s="20"/>
      <c r="C475" s="20"/>
      <c r="D475" s="35"/>
      <c r="E475" s="20"/>
      <c r="F475" s="20"/>
      <c r="G475" s="20"/>
      <c r="H475" s="20"/>
      <c r="I475" s="20"/>
      <c r="J475" s="20"/>
      <c r="K475" s="20"/>
      <c r="L475" s="20"/>
      <c r="M475" s="20"/>
      <c r="N475" s="20"/>
      <c r="O475" s="20"/>
      <c r="P475" s="20"/>
      <c r="Q475" s="20"/>
      <c r="R475" s="20"/>
      <c r="S475" s="20"/>
      <c r="T475" s="20"/>
      <c r="U475" s="20"/>
      <c r="V475" s="20"/>
      <c r="W475" s="20"/>
      <c r="X475" s="20"/>
    </row>
    <row r="476" ht="12.0" customHeight="1">
      <c r="A476" s="20"/>
      <c r="B476" s="20"/>
      <c r="C476" s="20"/>
      <c r="D476" s="35"/>
      <c r="E476" s="20"/>
      <c r="F476" s="20"/>
      <c r="G476" s="20"/>
      <c r="H476" s="20"/>
      <c r="I476" s="20"/>
      <c r="J476" s="20"/>
      <c r="K476" s="20"/>
      <c r="L476" s="20"/>
      <c r="M476" s="20"/>
      <c r="N476" s="20"/>
      <c r="O476" s="20"/>
      <c r="P476" s="20"/>
      <c r="Q476" s="20"/>
      <c r="R476" s="20"/>
      <c r="S476" s="20"/>
      <c r="T476" s="20"/>
      <c r="U476" s="20"/>
      <c r="V476" s="20"/>
      <c r="W476" s="20"/>
      <c r="X476" s="20"/>
    </row>
    <row r="477" ht="12.0" customHeight="1">
      <c r="A477" s="20"/>
      <c r="B477" s="20"/>
      <c r="C477" s="20"/>
      <c r="D477" s="35"/>
      <c r="E477" s="20"/>
      <c r="F477" s="20"/>
      <c r="G477" s="20"/>
      <c r="H477" s="20"/>
      <c r="I477" s="20"/>
      <c r="J477" s="20"/>
      <c r="K477" s="20"/>
      <c r="L477" s="20"/>
      <c r="M477" s="20"/>
      <c r="N477" s="20"/>
      <c r="O477" s="20"/>
      <c r="P477" s="20"/>
      <c r="Q477" s="20"/>
      <c r="R477" s="20"/>
      <c r="S477" s="20"/>
      <c r="T477" s="20"/>
      <c r="U477" s="20"/>
      <c r="V477" s="20"/>
      <c r="W477" s="20"/>
      <c r="X477" s="20"/>
    </row>
    <row r="478" ht="12.0" customHeight="1">
      <c r="A478" s="20"/>
      <c r="B478" s="20"/>
      <c r="C478" s="20"/>
      <c r="D478" s="35"/>
      <c r="E478" s="20"/>
      <c r="F478" s="20"/>
      <c r="G478" s="20"/>
      <c r="H478" s="20"/>
      <c r="I478" s="20"/>
      <c r="J478" s="20"/>
      <c r="K478" s="20"/>
      <c r="L478" s="20"/>
      <c r="M478" s="20"/>
      <c r="N478" s="20"/>
      <c r="O478" s="20"/>
      <c r="P478" s="20"/>
      <c r="Q478" s="20"/>
      <c r="R478" s="20"/>
      <c r="S478" s="20"/>
      <c r="T478" s="20"/>
      <c r="U478" s="20"/>
      <c r="V478" s="20"/>
      <c r="W478" s="20"/>
      <c r="X478" s="20"/>
    </row>
    <row r="479" ht="12.0" customHeight="1">
      <c r="A479" s="20"/>
      <c r="B479" s="20"/>
      <c r="C479" s="20"/>
      <c r="D479" s="35"/>
      <c r="E479" s="20"/>
      <c r="F479" s="20"/>
      <c r="G479" s="20"/>
      <c r="H479" s="20"/>
      <c r="I479" s="20"/>
      <c r="J479" s="20"/>
      <c r="K479" s="20"/>
      <c r="L479" s="20"/>
      <c r="M479" s="20"/>
      <c r="N479" s="20"/>
      <c r="O479" s="20"/>
      <c r="P479" s="20"/>
      <c r="Q479" s="20"/>
      <c r="R479" s="20"/>
      <c r="S479" s="20"/>
      <c r="T479" s="20"/>
      <c r="U479" s="20"/>
      <c r="V479" s="20"/>
      <c r="W479" s="20"/>
      <c r="X479" s="20"/>
    </row>
    <row r="480" ht="12.0" customHeight="1">
      <c r="A480" s="20"/>
      <c r="B480" s="20"/>
      <c r="C480" s="20"/>
      <c r="D480" s="35"/>
      <c r="E480" s="20"/>
      <c r="F480" s="20"/>
      <c r="G480" s="20"/>
      <c r="H480" s="20"/>
      <c r="I480" s="20"/>
      <c r="J480" s="20"/>
      <c r="K480" s="20"/>
      <c r="L480" s="20"/>
      <c r="M480" s="20"/>
      <c r="N480" s="20"/>
      <c r="O480" s="20"/>
      <c r="P480" s="20"/>
      <c r="Q480" s="20"/>
      <c r="R480" s="20"/>
      <c r="S480" s="20"/>
      <c r="T480" s="20"/>
      <c r="U480" s="20"/>
      <c r="V480" s="20"/>
      <c r="W480" s="20"/>
      <c r="X480" s="20"/>
    </row>
    <row r="481" ht="12.0" customHeight="1">
      <c r="A481" s="20"/>
      <c r="B481" s="20"/>
      <c r="C481" s="20"/>
      <c r="D481" s="35"/>
      <c r="E481" s="20"/>
      <c r="F481" s="20"/>
      <c r="G481" s="20"/>
      <c r="H481" s="20"/>
      <c r="I481" s="20"/>
      <c r="J481" s="20"/>
      <c r="K481" s="20"/>
      <c r="L481" s="20"/>
      <c r="M481" s="20"/>
      <c r="N481" s="20"/>
      <c r="O481" s="20"/>
      <c r="P481" s="20"/>
      <c r="Q481" s="20"/>
      <c r="R481" s="20"/>
      <c r="S481" s="20"/>
      <c r="T481" s="20"/>
      <c r="U481" s="20"/>
      <c r="V481" s="20"/>
      <c r="W481" s="20"/>
      <c r="X481" s="20"/>
    </row>
    <row r="482" ht="12.0" customHeight="1">
      <c r="A482" s="20"/>
      <c r="B482" s="20"/>
      <c r="C482" s="20"/>
      <c r="D482" s="35"/>
      <c r="E482" s="20"/>
      <c r="F482" s="20"/>
      <c r="G482" s="20"/>
      <c r="H482" s="20"/>
      <c r="I482" s="20"/>
      <c r="J482" s="20"/>
      <c r="K482" s="20"/>
      <c r="L482" s="20"/>
      <c r="M482" s="20"/>
      <c r="N482" s="20"/>
      <c r="O482" s="20"/>
      <c r="P482" s="20"/>
      <c r="Q482" s="20"/>
      <c r="R482" s="20"/>
      <c r="S482" s="20"/>
      <c r="T482" s="20"/>
      <c r="U482" s="20"/>
      <c r="V482" s="20"/>
      <c r="W482" s="20"/>
      <c r="X482" s="20"/>
    </row>
    <row r="483" ht="12.0" customHeight="1">
      <c r="A483" s="20"/>
      <c r="B483" s="20"/>
      <c r="C483" s="20"/>
      <c r="D483" s="35"/>
      <c r="E483" s="20"/>
      <c r="F483" s="20"/>
      <c r="G483" s="20"/>
      <c r="H483" s="20"/>
      <c r="I483" s="20"/>
      <c r="J483" s="20"/>
      <c r="K483" s="20"/>
      <c r="L483" s="20"/>
      <c r="M483" s="20"/>
      <c r="N483" s="20"/>
      <c r="O483" s="20"/>
      <c r="P483" s="20"/>
      <c r="Q483" s="20"/>
      <c r="R483" s="20"/>
      <c r="S483" s="20"/>
      <c r="T483" s="20"/>
      <c r="U483" s="20"/>
      <c r="V483" s="20"/>
      <c r="W483" s="20"/>
      <c r="X483" s="20"/>
    </row>
    <row r="484" ht="12.0" customHeight="1">
      <c r="A484" s="20"/>
      <c r="B484" s="20"/>
      <c r="C484" s="20"/>
      <c r="D484" s="35"/>
      <c r="E484" s="20"/>
      <c r="F484" s="20"/>
      <c r="G484" s="20"/>
      <c r="H484" s="20"/>
      <c r="I484" s="20"/>
      <c r="J484" s="20"/>
      <c r="K484" s="20"/>
      <c r="L484" s="20"/>
      <c r="M484" s="20"/>
      <c r="N484" s="20"/>
      <c r="O484" s="20"/>
      <c r="P484" s="20"/>
      <c r="Q484" s="20"/>
      <c r="R484" s="20"/>
      <c r="S484" s="20"/>
      <c r="T484" s="20"/>
      <c r="U484" s="20"/>
      <c r="V484" s="20"/>
      <c r="W484" s="20"/>
      <c r="X484" s="20"/>
    </row>
    <row r="485" ht="12.0" customHeight="1">
      <c r="A485" s="20"/>
      <c r="B485" s="20"/>
      <c r="C485" s="20"/>
      <c r="D485" s="35"/>
      <c r="E485" s="20"/>
      <c r="F485" s="20"/>
      <c r="G485" s="20"/>
      <c r="H485" s="20"/>
      <c r="I485" s="20"/>
      <c r="J485" s="20"/>
      <c r="K485" s="20"/>
      <c r="L485" s="20"/>
      <c r="M485" s="20"/>
      <c r="N485" s="20"/>
      <c r="O485" s="20"/>
      <c r="P485" s="20"/>
      <c r="Q485" s="20"/>
      <c r="R485" s="20"/>
      <c r="S485" s="20"/>
      <c r="T485" s="20"/>
      <c r="U485" s="20"/>
      <c r="V485" s="20"/>
      <c r="W485" s="20"/>
      <c r="X485" s="20"/>
    </row>
    <row r="486" ht="12.0" customHeight="1">
      <c r="A486" s="20"/>
      <c r="B486" s="20"/>
      <c r="C486" s="20"/>
      <c r="D486" s="35"/>
      <c r="E486" s="20"/>
      <c r="F486" s="20"/>
      <c r="G486" s="20"/>
      <c r="H486" s="20"/>
      <c r="I486" s="20"/>
      <c r="J486" s="20"/>
      <c r="K486" s="20"/>
      <c r="L486" s="20"/>
      <c r="M486" s="20"/>
      <c r="N486" s="20"/>
      <c r="O486" s="20"/>
      <c r="P486" s="20"/>
      <c r="Q486" s="20"/>
      <c r="R486" s="20"/>
      <c r="S486" s="20"/>
      <c r="T486" s="20"/>
      <c r="U486" s="20"/>
      <c r="V486" s="20"/>
      <c r="W486" s="20"/>
      <c r="X486" s="20"/>
    </row>
    <row r="487" ht="12.0" customHeight="1">
      <c r="A487" s="20"/>
      <c r="B487" s="20"/>
      <c r="C487" s="20"/>
      <c r="D487" s="35"/>
      <c r="E487" s="20"/>
      <c r="F487" s="20"/>
      <c r="G487" s="20"/>
      <c r="H487" s="20"/>
      <c r="I487" s="20"/>
      <c r="J487" s="20"/>
      <c r="K487" s="20"/>
      <c r="L487" s="20"/>
      <c r="M487" s="20"/>
      <c r="N487" s="20"/>
      <c r="O487" s="20"/>
      <c r="P487" s="20"/>
      <c r="Q487" s="20"/>
      <c r="R487" s="20"/>
      <c r="S487" s="20"/>
      <c r="T487" s="20"/>
      <c r="U487" s="20"/>
      <c r="V487" s="20"/>
      <c r="W487" s="20"/>
      <c r="X487" s="20"/>
    </row>
    <row r="488" ht="12.0" customHeight="1">
      <c r="A488" s="20"/>
      <c r="B488" s="20"/>
      <c r="C488" s="20"/>
      <c r="D488" s="35"/>
      <c r="E488" s="20"/>
      <c r="F488" s="20"/>
      <c r="G488" s="20"/>
      <c r="H488" s="20"/>
      <c r="I488" s="20"/>
      <c r="J488" s="20"/>
      <c r="K488" s="20"/>
      <c r="L488" s="20"/>
      <c r="M488" s="20"/>
      <c r="N488" s="20"/>
      <c r="O488" s="20"/>
      <c r="P488" s="20"/>
      <c r="Q488" s="20"/>
      <c r="R488" s="20"/>
      <c r="S488" s="20"/>
      <c r="T488" s="20"/>
      <c r="U488" s="20"/>
      <c r="V488" s="20"/>
      <c r="W488" s="20"/>
      <c r="X488" s="20"/>
    </row>
    <row r="489" ht="12.0" customHeight="1">
      <c r="A489" s="20"/>
      <c r="B489" s="20"/>
      <c r="C489" s="20"/>
      <c r="D489" s="35"/>
      <c r="E489" s="20"/>
      <c r="F489" s="20"/>
      <c r="G489" s="20"/>
      <c r="H489" s="20"/>
      <c r="I489" s="20"/>
      <c r="J489" s="20"/>
      <c r="K489" s="20"/>
      <c r="L489" s="20"/>
      <c r="M489" s="20"/>
      <c r="N489" s="20"/>
      <c r="O489" s="20"/>
      <c r="P489" s="20"/>
      <c r="Q489" s="20"/>
      <c r="R489" s="20"/>
      <c r="S489" s="20"/>
      <c r="T489" s="20"/>
      <c r="U489" s="20"/>
      <c r="V489" s="20"/>
      <c r="W489" s="20"/>
      <c r="X489" s="20"/>
    </row>
    <row r="490" ht="12.0" customHeight="1">
      <c r="A490" s="20"/>
      <c r="B490" s="20"/>
      <c r="C490" s="20"/>
      <c r="D490" s="35"/>
      <c r="E490" s="20"/>
      <c r="F490" s="20"/>
      <c r="G490" s="20"/>
      <c r="H490" s="20"/>
      <c r="I490" s="20"/>
      <c r="J490" s="20"/>
      <c r="K490" s="20"/>
      <c r="L490" s="20"/>
      <c r="M490" s="20"/>
      <c r="N490" s="20"/>
      <c r="O490" s="20"/>
      <c r="P490" s="20"/>
      <c r="Q490" s="20"/>
      <c r="R490" s="20"/>
      <c r="S490" s="20"/>
      <c r="T490" s="20"/>
      <c r="U490" s="20"/>
      <c r="V490" s="20"/>
      <c r="W490" s="20"/>
      <c r="X490" s="20"/>
    </row>
    <row r="491" ht="12.0" customHeight="1">
      <c r="A491" s="20"/>
      <c r="B491" s="20"/>
      <c r="C491" s="20"/>
      <c r="D491" s="35"/>
      <c r="E491" s="20"/>
      <c r="F491" s="20"/>
      <c r="G491" s="20"/>
      <c r="H491" s="20"/>
      <c r="I491" s="20"/>
      <c r="J491" s="20"/>
      <c r="K491" s="20"/>
      <c r="L491" s="20"/>
      <c r="M491" s="20"/>
      <c r="N491" s="20"/>
      <c r="O491" s="20"/>
      <c r="P491" s="20"/>
      <c r="Q491" s="20"/>
      <c r="R491" s="20"/>
      <c r="S491" s="20"/>
      <c r="T491" s="20"/>
      <c r="U491" s="20"/>
      <c r="V491" s="20"/>
      <c r="W491" s="20"/>
      <c r="X491" s="20"/>
    </row>
    <row r="492" ht="12.0" customHeight="1">
      <c r="A492" s="20"/>
      <c r="B492" s="20"/>
      <c r="C492" s="20"/>
      <c r="D492" s="35"/>
      <c r="E492" s="20"/>
      <c r="F492" s="20"/>
      <c r="G492" s="20"/>
      <c r="H492" s="20"/>
      <c r="I492" s="20"/>
      <c r="J492" s="20"/>
      <c r="K492" s="20"/>
      <c r="L492" s="20"/>
      <c r="M492" s="20"/>
      <c r="N492" s="20"/>
      <c r="O492" s="20"/>
      <c r="P492" s="20"/>
      <c r="Q492" s="20"/>
      <c r="R492" s="20"/>
      <c r="S492" s="20"/>
      <c r="T492" s="20"/>
      <c r="U492" s="20"/>
      <c r="V492" s="20"/>
      <c r="W492" s="20"/>
      <c r="X492" s="20"/>
    </row>
    <row r="493" ht="12.0" customHeight="1">
      <c r="A493" s="20"/>
      <c r="B493" s="20"/>
      <c r="C493" s="20"/>
      <c r="D493" s="35"/>
      <c r="E493" s="20"/>
      <c r="F493" s="20"/>
      <c r="G493" s="20"/>
      <c r="H493" s="20"/>
      <c r="I493" s="20"/>
      <c r="J493" s="20"/>
      <c r="K493" s="20"/>
      <c r="L493" s="20"/>
      <c r="M493" s="20"/>
      <c r="N493" s="20"/>
      <c r="O493" s="20"/>
      <c r="P493" s="20"/>
      <c r="Q493" s="20"/>
      <c r="R493" s="20"/>
      <c r="S493" s="20"/>
      <c r="T493" s="20"/>
      <c r="U493" s="20"/>
      <c r="V493" s="20"/>
      <c r="W493" s="20"/>
      <c r="X493" s="20"/>
    </row>
    <row r="494" ht="12.0" customHeight="1">
      <c r="A494" s="20"/>
      <c r="B494" s="20"/>
      <c r="C494" s="20"/>
      <c r="D494" s="35"/>
      <c r="E494" s="20"/>
      <c r="F494" s="20"/>
      <c r="G494" s="20"/>
      <c r="H494" s="20"/>
      <c r="I494" s="20"/>
      <c r="J494" s="20"/>
      <c r="K494" s="20"/>
      <c r="L494" s="20"/>
      <c r="M494" s="20"/>
      <c r="N494" s="20"/>
      <c r="O494" s="20"/>
      <c r="P494" s="20"/>
      <c r="Q494" s="20"/>
      <c r="R494" s="20"/>
      <c r="S494" s="20"/>
      <c r="T494" s="20"/>
      <c r="U494" s="20"/>
      <c r="V494" s="20"/>
      <c r="W494" s="20"/>
      <c r="X494" s="20"/>
    </row>
    <row r="495" ht="12.0" customHeight="1">
      <c r="A495" s="20"/>
      <c r="B495" s="20"/>
      <c r="C495" s="20"/>
      <c r="D495" s="35"/>
      <c r="E495" s="20"/>
      <c r="F495" s="20"/>
      <c r="G495" s="20"/>
      <c r="H495" s="20"/>
      <c r="I495" s="20"/>
      <c r="J495" s="20"/>
      <c r="K495" s="20"/>
      <c r="L495" s="20"/>
      <c r="M495" s="20"/>
      <c r="N495" s="20"/>
      <c r="O495" s="20"/>
      <c r="P495" s="20"/>
      <c r="Q495" s="20"/>
      <c r="R495" s="20"/>
      <c r="S495" s="20"/>
      <c r="T495" s="20"/>
      <c r="U495" s="20"/>
      <c r="V495" s="20"/>
      <c r="W495" s="20"/>
      <c r="X495" s="20"/>
    </row>
    <row r="496" ht="12.0" customHeight="1">
      <c r="A496" s="20"/>
      <c r="B496" s="20"/>
      <c r="C496" s="20"/>
      <c r="D496" s="35"/>
      <c r="E496" s="20"/>
      <c r="F496" s="20"/>
      <c r="G496" s="20"/>
      <c r="H496" s="20"/>
      <c r="I496" s="20"/>
      <c r="J496" s="20"/>
      <c r="K496" s="20"/>
      <c r="L496" s="20"/>
      <c r="M496" s="20"/>
      <c r="N496" s="20"/>
      <c r="O496" s="20"/>
      <c r="P496" s="20"/>
      <c r="Q496" s="20"/>
      <c r="R496" s="20"/>
      <c r="S496" s="20"/>
      <c r="T496" s="20"/>
      <c r="U496" s="20"/>
      <c r="V496" s="20"/>
      <c r="W496" s="20"/>
      <c r="X496" s="20"/>
    </row>
    <row r="497" ht="12.0" customHeight="1">
      <c r="A497" s="20"/>
      <c r="B497" s="20"/>
      <c r="C497" s="20"/>
      <c r="D497" s="35"/>
      <c r="E497" s="20"/>
      <c r="F497" s="20"/>
      <c r="G497" s="20"/>
      <c r="H497" s="20"/>
      <c r="I497" s="20"/>
      <c r="J497" s="20"/>
      <c r="K497" s="20"/>
      <c r="L497" s="20"/>
      <c r="M497" s="20"/>
      <c r="N497" s="20"/>
      <c r="O497" s="20"/>
      <c r="P497" s="20"/>
      <c r="Q497" s="20"/>
      <c r="R497" s="20"/>
      <c r="S497" s="20"/>
      <c r="T497" s="20"/>
      <c r="U497" s="20"/>
      <c r="V497" s="20"/>
      <c r="W497" s="20"/>
      <c r="X497" s="20"/>
    </row>
    <row r="498" ht="12.0" customHeight="1">
      <c r="A498" s="20"/>
      <c r="B498" s="20"/>
      <c r="C498" s="20"/>
      <c r="D498" s="35"/>
      <c r="E498" s="20"/>
      <c r="F498" s="20"/>
      <c r="G498" s="20"/>
      <c r="H498" s="20"/>
      <c r="I498" s="20"/>
      <c r="J498" s="20"/>
      <c r="K498" s="20"/>
      <c r="L498" s="20"/>
      <c r="M498" s="20"/>
      <c r="N498" s="20"/>
      <c r="O498" s="20"/>
      <c r="P498" s="20"/>
      <c r="Q498" s="20"/>
      <c r="R498" s="20"/>
      <c r="S498" s="20"/>
      <c r="T498" s="20"/>
      <c r="U498" s="20"/>
      <c r="V498" s="20"/>
      <c r="W498" s="20"/>
      <c r="X498" s="20"/>
    </row>
    <row r="499" ht="12.0" customHeight="1">
      <c r="A499" s="20"/>
      <c r="B499" s="20"/>
      <c r="C499" s="20"/>
      <c r="D499" s="35"/>
      <c r="E499" s="20"/>
      <c r="F499" s="20"/>
      <c r="G499" s="20"/>
      <c r="H499" s="20"/>
      <c r="I499" s="20"/>
      <c r="J499" s="20"/>
      <c r="K499" s="20"/>
      <c r="L499" s="20"/>
      <c r="M499" s="20"/>
      <c r="N499" s="20"/>
      <c r="O499" s="20"/>
      <c r="P499" s="20"/>
      <c r="Q499" s="20"/>
      <c r="R499" s="20"/>
      <c r="S499" s="20"/>
      <c r="T499" s="20"/>
      <c r="U499" s="20"/>
      <c r="V499" s="20"/>
      <c r="W499" s="20"/>
      <c r="X499" s="20"/>
    </row>
    <row r="500" ht="12.0" customHeight="1">
      <c r="A500" s="20"/>
      <c r="B500" s="20"/>
      <c r="C500" s="20"/>
      <c r="D500" s="35"/>
      <c r="E500" s="20"/>
      <c r="F500" s="20"/>
      <c r="G500" s="20"/>
      <c r="H500" s="20"/>
      <c r="I500" s="20"/>
      <c r="J500" s="20"/>
      <c r="K500" s="20"/>
      <c r="L500" s="20"/>
      <c r="M500" s="20"/>
      <c r="N500" s="20"/>
      <c r="O500" s="20"/>
      <c r="P500" s="20"/>
      <c r="Q500" s="20"/>
      <c r="R500" s="20"/>
      <c r="S500" s="20"/>
      <c r="T500" s="20"/>
      <c r="U500" s="20"/>
      <c r="V500" s="20"/>
      <c r="W500" s="20"/>
      <c r="X500" s="20"/>
    </row>
    <row r="501" ht="12.0" customHeight="1">
      <c r="A501" s="20"/>
      <c r="B501" s="20"/>
      <c r="C501" s="20"/>
      <c r="D501" s="35"/>
      <c r="E501" s="20"/>
      <c r="F501" s="20"/>
      <c r="G501" s="20"/>
      <c r="H501" s="20"/>
      <c r="I501" s="20"/>
      <c r="J501" s="20"/>
      <c r="K501" s="20"/>
      <c r="L501" s="20"/>
      <c r="M501" s="20"/>
      <c r="N501" s="20"/>
      <c r="O501" s="20"/>
      <c r="P501" s="20"/>
      <c r="Q501" s="20"/>
      <c r="R501" s="20"/>
      <c r="S501" s="20"/>
      <c r="T501" s="20"/>
      <c r="U501" s="20"/>
      <c r="V501" s="20"/>
      <c r="W501" s="20"/>
      <c r="X501" s="20"/>
    </row>
    <row r="502" ht="12.0" customHeight="1">
      <c r="A502" s="20"/>
      <c r="B502" s="20"/>
      <c r="C502" s="20"/>
      <c r="D502" s="35"/>
      <c r="E502" s="20"/>
      <c r="F502" s="20"/>
      <c r="G502" s="20"/>
      <c r="H502" s="20"/>
      <c r="I502" s="20"/>
      <c r="J502" s="20"/>
      <c r="K502" s="20"/>
      <c r="L502" s="20"/>
      <c r="M502" s="20"/>
      <c r="N502" s="20"/>
      <c r="O502" s="20"/>
      <c r="P502" s="20"/>
      <c r="Q502" s="20"/>
      <c r="R502" s="20"/>
      <c r="S502" s="20"/>
      <c r="T502" s="20"/>
      <c r="U502" s="20"/>
      <c r="V502" s="20"/>
      <c r="W502" s="20"/>
      <c r="X502" s="20"/>
    </row>
    <row r="503" ht="12.0" customHeight="1">
      <c r="A503" s="20"/>
      <c r="B503" s="20"/>
      <c r="C503" s="20"/>
      <c r="D503" s="35"/>
      <c r="E503" s="20"/>
      <c r="F503" s="20"/>
      <c r="G503" s="20"/>
      <c r="H503" s="20"/>
      <c r="I503" s="20"/>
      <c r="J503" s="20"/>
      <c r="K503" s="20"/>
      <c r="L503" s="20"/>
      <c r="M503" s="20"/>
      <c r="N503" s="20"/>
      <c r="O503" s="20"/>
      <c r="P503" s="20"/>
      <c r="Q503" s="20"/>
      <c r="R503" s="20"/>
      <c r="S503" s="20"/>
      <c r="T503" s="20"/>
      <c r="U503" s="20"/>
      <c r="V503" s="20"/>
      <c r="W503" s="20"/>
      <c r="X503" s="20"/>
    </row>
    <row r="504" ht="12.0" customHeight="1">
      <c r="A504" s="20"/>
      <c r="B504" s="20"/>
      <c r="C504" s="20"/>
      <c r="D504" s="35"/>
      <c r="E504" s="20"/>
      <c r="F504" s="20"/>
      <c r="G504" s="20"/>
      <c r="H504" s="20"/>
      <c r="I504" s="20"/>
      <c r="J504" s="20"/>
      <c r="K504" s="20"/>
      <c r="L504" s="20"/>
      <c r="M504" s="20"/>
      <c r="N504" s="20"/>
      <c r="O504" s="20"/>
      <c r="P504" s="20"/>
      <c r="Q504" s="20"/>
      <c r="R504" s="20"/>
      <c r="S504" s="20"/>
      <c r="T504" s="20"/>
      <c r="U504" s="20"/>
      <c r="V504" s="20"/>
      <c r="W504" s="20"/>
      <c r="X504" s="20"/>
    </row>
    <row r="505" ht="12.0" customHeight="1">
      <c r="A505" s="20"/>
      <c r="B505" s="20"/>
      <c r="C505" s="20"/>
      <c r="D505" s="35"/>
      <c r="E505" s="20"/>
      <c r="F505" s="20"/>
      <c r="G505" s="20"/>
      <c r="H505" s="20"/>
      <c r="I505" s="20"/>
      <c r="J505" s="20"/>
      <c r="K505" s="20"/>
      <c r="L505" s="20"/>
      <c r="M505" s="20"/>
      <c r="N505" s="20"/>
      <c r="O505" s="20"/>
      <c r="P505" s="20"/>
      <c r="Q505" s="20"/>
      <c r="R505" s="20"/>
      <c r="S505" s="20"/>
      <c r="T505" s="20"/>
      <c r="U505" s="20"/>
      <c r="V505" s="20"/>
      <c r="W505" s="20"/>
      <c r="X505" s="20"/>
    </row>
    <row r="506" ht="12.0" customHeight="1">
      <c r="A506" s="20"/>
      <c r="B506" s="20"/>
      <c r="C506" s="20"/>
      <c r="D506" s="35"/>
      <c r="E506" s="20"/>
      <c r="F506" s="20"/>
      <c r="G506" s="20"/>
      <c r="H506" s="20"/>
      <c r="I506" s="20"/>
      <c r="J506" s="20"/>
      <c r="K506" s="20"/>
      <c r="L506" s="20"/>
      <c r="M506" s="20"/>
      <c r="N506" s="20"/>
      <c r="O506" s="20"/>
      <c r="P506" s="20"/>
      <c r="Q506" s="20"/>
      <c r="R506" s="20"/>
      <c r="S506" s="20"/>
      <c r="T506" s="20"/>
      <c r="U506" s="20"/>
      <c r="V506" s="20"/>
      <c r="W506" s="20"/>
      <c r="X506" s="20"/>
    </row>
    <row r="507" ht="12.0" customHeight="1">
      <c r="A507" s="20"/>
      <c r="B507" s="20"/>
      <c r="C507" s="20"/>
      <c r="D507" s="35"/>
      <c r="E507" s="20"/>
      <c r="F507" s="20"/>
      <c r="G507" s="20"/>
      <c r="H507" s="20"/>
      <c r="I507" s="20"/>
      <c r="J507" s="20"/>
      <c r="K507" s="20"/>
      <c r="L507" s="20"/>
      <c r="M507" s="20"/>
      <c r="N507" s="20"/>
      <c r="O507" s="20"/>
      <c r="P507" s="20"/>
      <c r="Q507" s="20"/>
      <c r="R507" s="20"/>
      <c r="S507" s="20"/>
      <c r="T507" s="20"/>
      <c r="U507" s="20"/>
      <c r="V507" s="20"/>
      <c r="W507" s="20"/>
      <c r="X507" s="20"/>
    </row>
    <row r="508" ht="12.0" customHeight="1">
      <c r="A508" s="20"/>
      <c r="B508" s="20"/>
      <c r="C508" s="20"/>
      <c r="D508" s="35"/>
      <c r="E508" s="20"/>
      <c r="F508" s="20"/>
      <c r="G508" s="20"/>
      <c r="H508" s="20"/>
      <c r="I508" s="20"/>
      <c r="J508" s="20"/>
      <c r="K508" s="20"/>
      <c r="L508" s="20"/>
      <c r="M508" s="20"/>
      <c r="N508" s="20"/>
      <c r="O508" s="20"/>
      <c r="P508" s="20"/>
      <c r="Q508" s="20"/>
      <c r="R508" s="20"/>
      <c r="S508" s="20"/>
      <c r="T508" s="20"/>
      <c r="U508" s="20"/>
      <c r="V508" s="20"/>
      <c r="W508" s="20"/>
      <c r="X508" s="20"/>
    </row>
    <row r="509" ht="12.0" customHeight="1">
      <c r="A509" s="20"/>
      <c r="B509" s="20"/>
      <c r="C509" s="20"/>
      <c r="D509" s="35"/>
      <c r="E509" s="20"/>
      <c r="F509" s="20"/>
      <c r="G509" s="20"/>
      <c r="H509" s="20"/>
      <c r="I509" s="20"/>
      <c r="J509" s="20"/>
      <c r="K509" s="20"/>
      <c r="L509" s="20"/>
      <c r="M509" s="20"/>
      <c r="N509" s="20"/>
      <c r="O509" s="20"/>
      <c r="P509" s="20"/>
      <c r="Q509" s="20"/>
      <c r="R509" s="20"/>
      <c r="S509" s="20"/>
      <c r="T509" s="20"/>
      <c r="U509" s="20"/>
      <c r="V509" s="20"/>
      <c r="W509" s="20"/>
      <c r="X509" s="20"/>
    </row>
    <row r="510" ht="12.0" customHeight="1">
      <c r="A510" s="20"/>
      <c r="B510" s="20"/>
      <c r="C510" s="20"/>
      <c r="D510" s="35"/>
      <c r="E510" s="20"/>
      <c r="F510" s="20"/>
      <c r="G510" s="20"/>
      <c r="H510" s="20"/>
      <c r="I510" s="20"/>
      <c r="J510" s="20"/>
      <c r="K510" s="20"/>
      <c r="L510" s="20"/>
      <c r="M510" s="20"/>
      <c r="N510" s="20"/>
      <c r="O510" s="20"/>
      <c r="P510" s="20"/>
      <c r="Q510" s="20"/>
      <c r="R510" s="20"/>
      <c r="S510" s="20"/>
      <c r="T510" s="20"/>
      <c r="U510" s="20"/>
      <c r="V510" s="20"/>
      <c r="W510" s="20"/>
      <c r="X510" s="20"/>
    </row>
    <row r="511" ht="12.0" customHeight="1">
      <c r="A511" s="20"/>
      <c r="B511" s="20"/>
      <c r="C511" s="20"/>
      <c r="D511" s="35"/>
      <c r="E511" s="20"/>
      <c r="F511" s="20"/>
      <c r="G511" s="20"/>
      <c r="H511" s="20"/>
      <c r="I511" s="20"/>
      <c r="J511" s="20"/>
      <c r="K511" s="20"/>
      <c r="L511" s="20"/>
      <c r="M511" s="20"/>
      <c r="N511" s="20"/>
      <c r="O511" s="20"/>
      <c r="P511" s="20"/>
      <c r="Q511" s="20"/>
      <c r="R511" s="20"/>
      <c r="S511" s="20"/>
      <c r="T511" s="20"/>
      <c r="U511" s="20"/>
      <c r="V511" s="20"/>
      <c r="W511" s="20"/>
      <c r="X511" s="20"/>
    </row>
    <row r="512" ht="12.0" customHeight="1">
      <c r="A512" s="20"/>
      <c r="B512" s="20"/>
      <c r="C512" s="20"/>
      <c r="D512" s="35"/>
      <c r="E512" s="20"/>
      <c r="F512" s="20"/>
      <c r="G512" s="20"/>
      <c r="H512" s="20"/>
      <c r="I512" s="20"/>
      <c r="J512" s="20"/>
      <c r="K512" s="20"/>
      <c r="L512" s="20"/>
      <c r="M512" s="20"/>
      <c r="N512" s="20"/>
      <c r="O512" s="20"/>
      <c r="P512" s="20"/>
      <c r="Q512" s="20"/>
      <c r="R512" s="20"/>
      <c r="S512" s="20"/>
      <c r="T512" s="20"/>
      <c r="U512" s="20"/>
      <c r="V512" s="20"/>
      <c r="W512" s="20"/>
      <c r="X512" s="20"/>
    </row>
    <row r="513" ht="12.0" customHeight="1">
      <c r="A513" s="20"/>
      <c r="B513" s="20"/>
      <c r="C513" s="20"/>
      <c r="D513" s="35"/>
      <c r="E513" s="20"/>
      <c r="F513" s="20"/>
      <c r="G513" s="20"/>
      <c r="H513" s="20"/>
      <c r="I513" s="20"/>
      <c r="J513" s="20"/>
      <c r="K513" s="20"/>
      <c r="L513" s="20"/>
      <c r="M513" s="20"/>
      <c r="N513" s="20"/>
      <c r="O513" s="20"/>
      <c r="P513" s="20"/>
      <c r="Q513" s="20"/>
      <c r="R513" s="20"/>
      <c r="S513" s="20"/>
      <c r="T513" s="20"/>
      <c r="U513" s="20"/>
      <c r="V513" s="20"/>
      <c r="W513" s="20"/>
      <c r="X513" s="20"/>
    </row>
    <row r="514" ht="12.0" customHeight="1">
      <c r="A514" s="20"/>
      <c r="B514" s="20"/>
      <c r="C514" s="20"/>
      <c r="D514" s="35"/>
      <c r="E514" s="20"/>
      <c r="F514" s="20"/>
      <c r="G514" s="20"/>
      <c r="H514" s="20"/>
      <c r="I514" s="20"/>
      <c r="J514" s="20"/>
      <c r="K514" s="20"/>
      <c r="L514" s="20"/>
      <c r="M514" s="20"/>
      <c r="N514" s="20"/>
      <c r="O514" s="20"/>
      <c r="P514" s="20"/>
      <c r="Q514" s="20"/>
      <c r="R514" s="20"/>
      <c r="S514" s="20"/>
      <c r="T514" s="20"/>
      <c r="U514" s="20"/>
      <c r="V514" s="20"/>
      <c r="W514" s="20"/>
      <c r="X514" s="20"/>
    </row>
    <row r="515" ht="12.0" customHeight="1">
      <c r="A515" s="20"/>
      <c r="B515" s="20"/>
      <c r="C515" s="20"/>
      <c r="D515" s="35"/>
      <c r="E515" s="20"/>
      <c r="F515" s="20"/>
      <c r="G515" s="20"/>
      <c r="H515" s="20"/>
      <c r="I515" s="20"/>
      <c r="J515" s="20"/>
      <c r="K515" s="20"/>
      <c r="L515" s="20"/>
      <c r="M515" s="20"/>
      <c r="N515" s="20"/>
      <c r="O515" s="20"/>
      <c r="P515" s="20"/>
      <c r="Q515" s="20"/>
      <c r="R515" s="20"/>
      <c r="S515" s="20"/>
      <c r="T515" s="20"/>
      <c r="U515" s="20"/>
      <c r="V515" s="20"/>
      <c r="W515" s="20"/>
      <c r="X515" s="20"/>
    </row>
    <row r="516" ht="12.0" customHeight="1">
      <c r="A516" s="20"/>
      <c r="B516" s="20"/>
      <c r="C516" s="20"/>
      <c r="D516" s="35"/>
      <c r="E516" s="20"/>
      <c r="F516" s="20"/>
      <c r="G516" s="20"/>
      <c r="H516" s="20"/>
      <c r="I516" s="20"/>
      <c r="J516" s="20"/>
      <c r="K516" s="20"/>
      <c r="L516" s="20"/>
      <c r="M516" s="20"/>
      <c r="N516" s="20"/>
      <c r="O516" s="20"/>
      <c r="P516" s="20"/>
      <c r="Q516" s="20"/>
      <c r="R516" s="20"/>
      <c r="S516" s="20"/>
      <c r="T516" s="20"/>
      <c r="U516" s="20"/>
      <c r="V516" s="20"/>
      <c r="W516" s="20"/>
      <c r="X516" s="20"/>
    </row>
    <row r="517" ht="12.0" customHeight="1">
      <c r="A517" s="20"/>
      <c r="B517" s="20"/>
      <c r="C517" s="20"/>
      <c r="D517" s="35"/>
      <c r="E517" s="20"/>
      <c r="F517" s="20"/>
      <c r="G517" s="20"/>
      <c r="H517" s="20"/>
      <c r="I517" s="20"/>
      <c r="J517" s="20"/>
      <c r="K517" s="20"/>
      <c r="L517" s="20"/>
      <c r="M517" s="20"/>
      <c r="N517" s="20"/>
      <c r="O517" s="20"/>
      <c r="P517" s="20"/>
      <c r="Q517" s="20"/>
      <c r="R517" s="20"/>
      <c r="S517" s="20"/>
      <c r="T517" s="20"/>
      <c r="U517" s="20"/>
      <c r="V517" s="20"/>
      <c r="W517" s="20"/>
      <c r="X517" s="20"/>
    </row>
    <row r="518" ht="12.0" customHeight="1">
      <c r="A518" s="20"/>
      <c r="B518" s="20"/>
      <c r="C518" s="20"/>
      <c r="D518" s="35"/>
      <c r="E518" s="20"/>
      <c r="F518" s="20"/>
      <c r="G518" s="20"/>
      <c r="H518" s="20"/>
      <c r="I518" s="20"/>
      <c r="J518" s="20"/>
      <c r="K518" s="20"/>
      <c r="L518" s="20"/>
      <c r="M518" s="20"/>
      <c r="N518" s="20"/>
      <c r="O518" s="20"/>
      <c r="P518" s="20"/>
      <c r="Q518" s="20"/>
      <c r="R518" s="20"/>
      <c r="S518" s="20"/>
      <c r="T518" s="20"/>
      <c r="U518" s="20"/>
      <c r="V518" s="20"/>
      <c r="W518" s="20"/>
      <c r="X518" s="20"/>
    </row>
    <row r="519" ht="12.0" customHeight="1">
      <c r="A519" s="20"/>
      <c r="B519" s="20"/>
      <c r="C519" s="20"/>
      <c r="D519" s="35"/>
      <c r="E519" s="20"/>
      <c r="F519" s="20"/>
      <c r="G519" s="20"/>
      <c r="H519" s="20"/>
      <c r="I519" s="20"/>
      <c r="J519" s="20"/>
      <c r="K519" s="20"/>
      <c r="L519" s="20"/>
      <c r="M519" s="20"/>
      <c r="N519" s="20"/>
      <c r="O519" s="20"/>
      <c r="P519" s="20"/>
      <c r="Q519" s="20"/>
      <c r="R519" s="20"/>
      <c r="S519" s="20"/>
      <c r="T519" s="20"/>
      <c r="U519" s="20"/>
      <c r="V519" s="20"/>
      <c r="W519" s="20"/>
      <c r="X519" s="20"/>
    </row>
    <row r="520" ht="12.0" customHeight="1">
      <c r="A520" s="20"/>
      <c r="B520" s="20"/>
      <c r="C520" s="20"/>
      <c r="D520" s="35"/>
      <c r="E520" s="20"/>
      <c r="F520" s="20"/>
      <c r="G520" s="20"/>
      <c r="H520" s="20"/>
      <c r="I520" s="20"/>
      <c r="J520" s="20"/>
      <c r="K520" s="20"/>
      <c r="L520" s="20"/>
      <c r="M520" s="20"/>
      <c r="N520" s="20"/>
      <c r="O520" s="20"/>
      <c r="P520" s="20"/>
      <c r="Q520" s="20"/>
      <c r="R520" s="20"/>
      <c r="S520" s="20"/>
      <c r="T520" s="20"/>
      <c r="U520" s="20"/>
      <c r="V520" s="20"/>
      <c r="W520" s="20"/>
      <c r="X520" s="20"/>
    </row>
    <row r="521" ht="12.0" customHeight="1">
      <c r="A521" s="20"/>
      <c r="B521" s="20"/>
      <c r="C521" s="20"/>
      <c r="D521" s="35"/>
      <c r="E521" s="20"/>
      <c r="F521" s="20"/>
      <c r="G521" s="20"/>
      <c r="H521" s="20"/>
      <c r="I521" s="20"/>
      <c r="J521" s="20"/>
      <c r="K521" s="20"/>
      <c r="L521" s="20"/>
      <c r="M521" s="20"/>
      <c r="N521" s="20"/>
      <c r="O521" s="20"/>
      <c r="P521" s="20"/>
      <c r="Q521" s="20"/>
      <c r="R521" s="20"/>
      <c r="S521" s="20"/>
      <c r="T521" s="20"/>
      <c r="U521" s="20"/>
      <c r="V521" s="20"/>
      <c r="W521" s="20"/>
      <c r="X521" s="20"/>
    </row>
    <row r="522" ht="12.0" customHeight="1">
      <c r="A522" s="20"/>
      <c r="B522" s="20"/>
      <c r="C522" s="20"/>
      <c r="D522" s="35"/>
      <c r="E522" s="20"/>
      <c r="F522" s="20"/>
      <c r="G522" s="20"/>
      <c r="H522" s="20"/>
      <c r="I522" s="20"/>
      <c r="J522" s="20"/>
      <c r="K522" s="20"/>
      <c r="L522" s="20"/>
      <c r="M522" s="20"/>
      <c r="N522" s="20"/>
      <c r="O522" s="20"/>
      <c r="P522" s="20"/>
      <c r="Q522" s="20"/>
      <c r="R522" s="20"/>
      <c r="S522" s="20"/>
      <c r="T522" s="20"/>
      <c r="U522" s="20"/>
      <c r="V522" s="20"/>
      <c r="W522" s="20"/>
      <c r="X522" s="20"/>
    </row>
    <row r="523" ht="12.0" customHeight="1">
      <c r="A523" s="20"/>
      <c r="B523" s="20"/>
      <c r="C523" s="20"/>
      <c r="D523" s="35"/>
      <c r="E523" s="20"/>
      <c r="F523" s="20"/>
      <c r="G523" s="20"/>
      <c r="H523" s="20"/>
      <c r="I523" s="20"/>
      <c r="J523" s="20"/>
      <c r="K523" s="20"/>
      <c r="L523" s="20"/>
      <c r="M523" s="20"/>
      <c r="N523" s="20"/>
      <c r="O523" s="20"/>
      <c r="P523" s="20"/>
      <c r="Q523" s="20"/>
      <c r="R523" s="20"/>
      <c r="S523" s="20"/>
      <c r="T523" s="20"/>
      <c r="U523" s="20"/>
      <c r="V523" s="20"/>
      <c r="W523" s="20"/>
      <c r="X523" s="20"/>
    </row>
    <row r="524" ht="12.0" customHeight="1">
      <c r="A524" s="20"/>
      <c r="B524" s="20"/>
      <c r="C524" s="20"/>
      <c r="D524" s="35"/>
      <c r="E524" s="20"/>
      <c r="F524" s="20"/>
      <c r="G524" s="20"/>
      <c r="H524" s="20"/>
      <c r="I524" s="20"/>
      <c r="J524" s="20"/>
      <c r="K524" s="20"/>
      <c r="L524" s="20"/>
      <c r="M524" s="20"/>
      <c r="N524" s="20"/>
      <c r="O524" s="20"/>
      <c r="P524" s="20"/>
      <c r="Q524" s="20"/>
      <c r="R524" s="20"/>
      <c r="S524" s="20"/>
      <c r="T524" s="20"/>
      <c r="U524" s="20"/>
      <c r="V524" s="20"/>
      <c r="W524" s="20"/>
      <c r="X524" s="20"/>
    </row>
    <row r="525" ht="12.0" customHeight="1">
      <c r="A525" s="20"/>
      <c r="B525" s="20"/>
      <c r="C525" s="20"/>
      <c r="D525" s="35"/>
      <c r="E525" s="20"/>
      <c r="F525" s="20"/>
      <c r="G525" s="20"/>
      <c r="H525" s="20"/>
      <c r="I525" s="20"/>
      <c r="J525" s="20"/>
      <c r="K525" s="20"/>
      <c r="L525" s="20"/>
      <c r="M525" s="20"/>
      <c r="N525" s="20"/>
      <c r="O525" s="20"/>
      <c r="P525" s="20"/>
      <c r="Q525" s="20"/>
      <c r="R525" s="20"/>
      <c r="S525" s="20"/>
      <c r="T525" s="20"/>
      <c r="U525" s="20"/>
      <c r="V525" s="20"/>
      <c r="W525" s="20"/>
      <c r="X525" s="20"/>
    </row>
    <row r="526" ht="12.0" customHeight="1">
      <c r="A526" s="20"/>
      <c r="B526" s="20"/>
      <c r="C526" s="20"/>
      <c r="D526" s="35"/>
      <c r="E526" s="20"/>
      <c r="F526" s="20"/>
      <c r="G526" s="20"/>
      <c r="H526" s="20"/>
      <c r="I526" s="20"/>
      <c r="J526" s="20"/>
      <c r="K526" s="20"/>
      <c r="L526" s="20"/>
      <c r="M526" s="20"/>
      <c r="N526" s="20"/>
      <c r="O526" s="20"/>
      <c r="P526" s="20"/>
      <c r="Q526" s="20"/>
      <c r="R526" s="20"/>
      <c r="S526" s="20"/>
      <c r="T526" s="20"/>
      <c r="U526" s="20"/>
      <c r="V526" s="20"/>
      <c r="W526" s="20"/>
      <c r="X526" s="20"/>
    </row>
    <row r="527" ht="12.0" customHeight="1">
      <c r="A527" s="20"/>
      <c r="B527" s="20"/>
      <c r="C527" s="20"/>
      <c r="D527" s="35"/>
      <c r="E527" s="20"/>
      <c r="F527" s="20"/>
      <c r="G527" s="20"/>
      <c r="H527" s="20"/>
      <c r="I527" s="20"/>
      <c r="J527" s="20"/>
      <c r="K527" s="20"/>
      <c r="L527" s="20"/>
      <c r="M527" s="20"/>
      <c r="N527" s="20"/>
      <c r="O527" s="20"/>
      <c r="P527" s="20"/>
      <c r="Q527" s="20"/>
      <c r="R527" s="20"/>
      <c r="S527" s="20"/>
      <c r="T527" s="20"/>
      <c r="U527" s="20"/>
      <c r="V527" s="20"/>
      <c r="W527" s="20"/>
      <c r="X527" s="20"/>
    </row>
    <row r="528" ht="12.0" customHeight="1">
      <c r="A528" s="20"/>
      <c r="B528" s="20"/>
      <c r="C528" s="20"/>
      <c r="D528" s="35"/>
      <c r="E528" s="20"/>
      <c r="F528" s="20"/>
      <c r="G528" s="20"/>
      <c r="H528" s="20"/>
      <c r="I528" s="20"/>
      <c r="J528" s="20"/>
      <c r="K528" s="20"/>
      <c r="L528" s="20"/>
      <c r="M528" s="20"/>
      <c r="N528" s="20"/>
      <c r="O528" s="20"/>
      <c r="P528" s="20"/>
      <c r="Q528" s="20"/>
      <c r="R528" s="20"/>
      <c r="S528" s="20"/>
      <c r="T528" s="20"/>
      <c r="U528" s="20"/>
      <c r="V528" s="20"/>
      <c r="W528" s="20"/>
      <c r="X528" s="20"/>
    </row>
    <row r="529" ht="12.0" customHeight="1">
      <c r="A529" s="20"/>
      <c r="B529" s="20"/>
      <c r="C529" s="20"/>
      <c r="D529" s="35"/>
      <c r="E529" s="20"/>
      <c r="F529" s="20"/>
      <c r="G529" s="20"/>
      <c r="H529" s="20"/>
      <c r="I529" s="20"/>
      <c r="J529" s="20"/>
      <c r="K529" s="20"/>
      <c r="L529" s="20"/>
      <c r="M529" s="20"/>
      <c r="N529" s="20"/>
      <c r="O529" s="20"/>
      <c r="P529" s="20"/>
      <c r="Q529" s="20"/>
      <c r="R529" s="20"/>
      <c r="S529" s="20"/>
      <c r="T529" s="20"/>
      <c r="U529" s="20"/>
      <c r="V529" s="20"/>
      <c r="W529" s="20"/>
      <c r="X529" s="20"/>
    </row>
    <row r="530" ht="12.0" customHeight="1">
      <c r="A530" s="20"/>
      <c r="B530" s="20"/>
      <c r="C530" s="20"/>
      <c r="D530" s="35"/>
      <c r="E530" s="20"/>
      <c r="F530" s="20"/>
      <c r="G530" s="20"/>
      <c r="H530" s="20"/>
      <c r="I530" s="20"/>
      <c r="J530" s="20"/>
      <c r="K530" s="20"/>
      <c r="L530" s="20"/>
      <c r="M530" s="20"/>
      <c r="N530" s="20"/>
      <c r="O530" s="20"/>
      <c r="P530" s="20"/>
      <c r="Q530" s="20"/>
      <c r="R530" s="20"/>
      <c r="S530" s="20"/>
      <c r="T530" s="20"/>
      <c r="U530" s="20"/>
      <c r="V530" s="20"/>
      <c r="W530" s="20"/>
      <c r="X530" s="20"/>
    </row>
    <row r="531" ht="12.0" customHeight="1">
      <c r="A531" s="20"/>
      <c r="B531" s="20"/>
      <c r="C531" s="20"/>
      <c r="D531" s="35"/>
      <c r="E531" s="20"/>
      <c r="F531" s="20"/>
      <c r="G531" s="20"/>
      <c r="H531" s="20"/>
      <c r="I531" s="20"/>
      <c r="J531" s="20"/>
      <c r="K531" s="20"/>
      <c r="L531" s="20"/>
      <c r="M531" s="20"/>
      <c r="N531" s="20"/>
      <c r="O531" s="20"/>
      <c r="P531" s="20"/>
      <c r="Q531" s="20"/>
      <c r="R531" s="20"/>
      <c r="S531" s="20"/>
      <c r="T531" s="20"/>
      <c r="U531" s="20"/>
      <c r="V531" s="20"/>
      <c r="W531" s="20"/>
      <c r="X531" s="20"/>
    </row>
    <row r="532" ht="12.0" customHeight="1">
      <c r="A532" s="20"/>
      <c r="B532" s="20"/>
      <c r="C532" s="20"/>
      <c r="D532" s="35"/>
      <c r="E532" s="20"/>
      <c r="F532" s="20"/>
      <c r="G532" s="20"/>
      <c r="H532" s="20"/>
      <c r="I532" s="20"/>
      <c r="J532" s="20"/>
      <c r="K532" s="20"/>
      <c r="L532" s="20"/>
      <c r="M532" s="20"/>
      <c r="N532" s="20"/>
      <c r="O532" s="20"/>
      <c r="P532" s="20"/>
      <c r="Q532" s="20"/>
      <c r="R532" s="20"/>
      <c r="S532" s="20"/>
      <c r="T532" s="20"/>
      <c r="U532" s="20"/>
      <c r="V532" s="20"/>
      <c r="W532" s="20"/>
      <c r="X532" s="20"/>
    </row>
    <row r="533" ht="12.0" customHeight="1">
      <c r="A533" s="20"/>
      <c r="B533" s="20"/>
      <c r="C533" s="20"/>
      <c r="D533" s="35"/>
      <c r="E533" s="20"/>
      <c r="F533" s="20"/>
      <c r="G533" s="20"/>
      <c r="H533" s="20"/>
      <c r="I533" s="20"/>
      <c r="J533" s="20"/>
      <c r="K533" s="20"/>
      <c r="L533" s="20"/>
      <c r="M533" s="20"/>
      <c r="N533" s="20"/>
      <c r="O533" s="20"/>
      <c r="P533" s="20"/>
      <c r="Q533" s="20"/>
      <c r="R533" s="20"/>
      <c r="S533" s="20"/>
      <c r="T533" s="20"/>
      <c r="U533" s="20"/>
      <c r="V533" s="20"/>
      <c r="W533" s="20"/>
      <c r="X533" s="20"/>
    </row>
    <row r="534" ht="12.0" customHeight="1">
      <c r="A534" s="20"/>
      <c r="B534" s="20"/>
      <c r="C534" s="20"/>
      <c r="D534" s="35"/>
      <c r="E534" s="20"/>
      <c r="F534" s="20"/>
      <c r="G534" s="20"/>
      <c r="H534" s="20"/>
      <c r="I534" s="20"/>
      <c r="J534" s="20"/>
      <c r="K534" s="20"/>
      <c r="L534" s="20"/>
      <c r="M534" s="20"/>
      <c r="N534" s="20"/>
      <c r="O534" s="20"/>
      <c r="P534" s="20"/>
      <c r="Q534" s="20"/>
      <c r="R534" s="20"/>
      <c r="S534" s="20"/>
      <c r="T534" s="20"/>
      <c r="U534" s="20"/>
      <c r="V534" s="20"/>
      <c r="W534" s="20"/>
      <c r="X534" s="20"/>
    </row>
    <row r="535" ht="12.0" customHeight="1">
      <c r="A535" s="20"/>
      <c r="B535" s="20"/>
      <c r="C535" s="20"/>
      <c r="D535" s="35"/>
      <c r="E535" s="20"/>
      <c r="F535" s="20"/>
      <c r="G535" s="20"/>
      <c r="H535" s="20"/>
      <c r="I535" s="20"/>
      <c r="J535" s="20"/>
      <c r="K535" s="20"/>
      <c r="L535" s="20"/>
      <c r="M535" s="20"/>
      <c r="N535" s="20"/>
      <c r="O535" s="20"/>
      <c r="P535" s="20"/>
      <c r="Q535" s="20"/>
      <c r="R535" s="20"/>
      <c r="S535" s="20"/>
      <c r="T535" s="20"/>
      <c r="U535" s="20"/>
      <c r="V535" s="20"/>
      <c r="W535" s="20"/>
      <c r="X535" s="20"/>
    </row>
    <row r="536" ht="12.0" customHeight="1">
      <c r="A536" s="20"/>
      <c r="B536" s="20"/>
      <c r="C536" s="20"/>
      <c r="D536" s="35"/>
      <c r="E536" s="20"/>
      <c r="F536" s="20"/>
      <c r="G536" s="20"/>
      <c r="H536" s="20"/>
      <c r="I536" s="20"/>
      <c r="J536" s="20"/>
      <c r="K536" s="20"/>
      <c r="L536" s="20"/>
      <c r="M536" s="20"/>
      <c r="N536" s="20"/>
      <c r="O536" s="20"/>
      <c r="P536" s="20"/>
      <c r="Q536" s="20"/>
      <c r="R536" s="20"/>
      <c r="S536" s="20"/>
      <c r="T536" s="20"/>
      <c r="U536" s="20"/>
      <c r="V536" s="20"/>
      <c r="W536" s="20"/>
      <c r="X536" s="20"/>
    </row>
    <row r="537" ht="12.0" customHeight="1">
      <c r="A537" s="20"/>
      <c r="B537" s="20"/>
      <c r="C537" s="20"/>
      <c r="D537" s="35"/>
      <c r="E537" s="20"/>
      <c r="F537" s="20"/>
      <c r="G537" s="20"/>
      <c r="H537" s="20"/>
      <c r="I537" s="20"/>
      <c r="J537" s="20"/>
      <c r="K537" s="20"/>
      <c r="L537" s="20"/>
      <c r="M537" s="20"/>
      <c r="N537" s="20"/>
      <c r="O537" s="20"/>
      <c r="P537" s="20"/>
      <c r="Q537" s="20"/>
      <c r="R537" s="20"/>
      <c r="S537" s="20"/>
      <c r="T537" s="20"/>
      <c r="U537" s="20"/>
      <c r="V537" s="20"/>
      <c r="W537" s="20"/>
      <c r="X537" s="20"/>
    </row>
    <row r="538" ht="12.0" customHeight="1">
      <c r="A538" s="20"/>
      <c r="B538" s="20"/>
      <c r="C538" s="20"/>
      <c r="D538" s="35"/>
      <c r="E538" s="20"/>
      <c r="F538" s="20"/>
      <c r="G538" s="20"/>
      <c r="H538" s="20"/>
      <c r="I538" s="20"/>
      <c r="J538" s="20"/>
      <c r="K538" s="20"/>
      <c r="L538" s="20"/>
      <c r="M538" s="20"/>
      <c r="N538" s="20"/>
      <c r="O538" s="20"/>
      <c r="P538" s="20"/>
      <c r="Q538" s="20"/>
      <c r="R538" s="20"/>
      <c r="S538" s="20"/>
      <c r="T538" s="20"/>
      <c r="U538" s="20"/>
      <c r="V538" s="20"/>
      <c r="W538" s="20"/>
      <c r="X538" s="20"/>
    </row>
    <row r="539" ht="12.0" customHeight="1">
      <c r="A539" s="20"/>
      <c r="B539" s="20"/>
      <c r="C539" s="20"/>
      <c r="D539" s="35"/>
      <c r="E539" s="20"/>
      <c r="F539" s="20"/>
      <c r="G539" s="20"/>
      <c r="H539" s="20"/>
      <c r="I539" s="20"/>
      <c r="J539" s="20"/>
      <c r="K539" s="20"/>
      <c r="L539" s="20"/>
      <c r="M539" s="20"/>
      <c r="N539" s="20"/>
      <c r="O539" s="20"/>
      <c r="P539" s="20"/>
      <c r="Q539" s="20"/>
      <c r="R539" s="20"/>
      <c r="S539" s="20"/>
      <c r="T539" s="20"/>
      <c r="U539" s="20"/>
      <c r="V539" s="20"/>
      <c r="W539" s="20"/>
      <c r="X539" s="20"/>
    </row>
    <row r="540" ht="12.0" customHeight="1">
      <c r="A540" s="20"/>
      <c r="B540" s="20"/>
      <c r="C540" s="20"/>
      <c r="D540" s="35"/>
      <c r="E540" s="20"/>
      <c r="F540" s="20"/>
      <c r="G540" s="20"/>
      <c r="H540" s="20"/>
      <c r="I540" s="20"/>
      <c r="J540" s="20"/>
      <c r="K540" s="20"/>
      <c r="L540" s="20"/>
      <c r="M540" s="20"/>
      <c r="N540" s="20"/>
      <c r="O540" s="20"/>
      <c r="P540" s="20"/>
      <c r="Q540" s="20"/>
      <c r="R540" s="20"/>
      <c r="S540" s="20"/>
      <c r="T540" s="20"/>
      <c r="U540" s="20"/>
      <c r="V540" s="20"/>
      <c r="W540" s="20"/>
      <c r="X540" s="20"/>
    </row>
    <row r="541" ht="12.0" customHeight="1">
      <c r="A541" s="20"/>
      <c r="B541" s="20"/>
      <c r="C541" s="20"/>
      <c r="D541" s="35"/>
      <c r="E541" s="20"/>
      <c r="F541" s="20"/>
      <c r="G541" s="20"/>
      <c r="H541" s="20"/>
      <c r="I541" s="20"/>
      <c r="J541" s="20"/>
      <c r="K541" s="20"/>
      <c r="L541" s="20"/>
      <c r="M541" s="20"/>
      <c r="N541" s="20"/>
      <c r="O541" s="20"/>
      <c r="P541" s="20"/>
      <c r="Q541" s="20"/>
      <c r="R541" s="20"/>
      <c r="S541" s="20"/>
      <c r="T541" s="20"/>
      <c r="U541" s="20"/>
      <c r="V541" s="20"/>
      <c r="W541" s="20"/>
      <c r="X541" s="20"/>
    </row>
    <row r="542" ht="12.0" customHeight="1">
      <c r="A542" s="20"/>
      <c r="B542" s="20"/>
      <c r="C542" s="20"/>
      <c r="D542" s="35"/>
      <c r="E542" s="20"/>
      <c r="F542" s="20"/>
      <c r="G542" s="20"/>
      <c r="H542" s="20"/>
      <c r="I542" s="20"/>
      <c r="J542" s="20"/>
      <c r="K542" s="20"/>
      <c r="L542" s="20"/>
      <c r="M542" s="20"/>
      <c r="N542" s="20"/>
      <c r="O542" s="20"/>
      <c r="P542" s="20"/>
      <c r="Q542" s="20"/>
      <c r="R542" s="20"/>
      <c r="S542" s="20"/>
      <c r="T542" s="20"/>
      <c r="U542" s="20"/>
      <c r="V542" s="20"/>
      <c r="W542" s="20"/>
      <c r="X542" s="20"/>
    </row>
    <row r="543" ht="12.0" customHeight="1">
      <c r="A543" s="20"/>
      <c r="B543" s="20"/>
      <c r="C543" s="20"/>
      <c r="D543" s="35"/>
      <c r="E543" s="20"/>
      <c r="F543" s="20"/>
      <c r="G543" s="20"/>
      <c r="H543" s="20"/>
      <c r="I543" s="20"/>
      <c r="J543" s="20"/>
      <c r="K543" s="20"/>
      <c r="L543" s="20"/>
      <c r="M543" s="20"/>
      <c r="N543" s="20"/>
      <c r="O543" s="20"/>
      <c r="P543" s="20"/>
      <c r="Q543" s="20"/>
      <c r="R543" s="20"/>
      <c r="S543" s="20"/>
      <c r="T543" s="20"/>
      <c r="U543" s="20"/>
      <c r="V543" s="20"/>
      <c r="W543" s="20"/>
      <c r="X543" s="20"/>
    </row>
    <row r="544" ht="12.0" customHeight="1">
      <c r="A544" s="20"/>
      <c r="B544" s="20"/>
      <c r="C544" s="20"/>
      <c r="D544" s="35"/>
      <c r="E544" s="20"/>
      <c r="F544" s="20"/>
      <c r="G544" s="20"/>
      <c r="H544" s="20"/>
      <c r="I544" s="20"/>
      <c r="J544" s="20"/>
      <c r="K544" s="20"/>
      <c r="L544" s="20"/>
      <c r="M544" s="20"/>
      <c r="N544" s="20"/>
      <c r="O544" s="20"/>
      <c r="P544" s="20"/>
      <c r="Q544" s="20"/>
      <c r="R544" s="20"/>
      <c r="S544" s="20"/>
      <c r="T544" s="20"/>
      <c r="U544" s="20"/>
      <c r="V544" s="20"/>
      <c r="W544" s="20"/>
      <c r="X544" s="20"/>
    </row>
    <row r="545" ht="12.0" customHeight="1">
      <c r="A545" s="20"/>
      <c r="B545" s="20"/>
      <c r="C545" s="20"/>
      <c r="D545" s="35"/>
      <c r="E545" s="20"/>
      <c r="F545" s="20"/>
      <c r="G545" s="20"/>
      <c r="H545" s="20"/>
      <c r="I545" s="20"/>
      <c r="J545" s="20"/>
      <c r="K545" s="20"/>
      <c r="L545" s="20"/>
      <c r="M545" s="20"/>
      <c r="N545" s="20"/>
      <c r="O545" s="20"/>
      <c r="P545" s="20"/>
      <c r="Q545" s="20"/>
      <c r="R545" s="20"/>
      <c r="S545" s="20"/>
      <c r="T545" s="20"/>
      <c r="U545" s="20"/>
      <c r="V545" s="20"/>
      <c r="W545" s="20"/>
      <c r="X545" s="20"/>
    </row>
    <row r="546" ht="12.0" customHeight="1">
      <c r="A546" s="20"/>
      <c r="B546" s="20"/>
      <c r="C546" s="20"/>
      <c r="D546" s="35"/>
      <c r="E546" s="20"/>
      <c r="F546" s="20"/>
      <c r="G546" s="20"/>
      <c r="H546" s="20"/>
      <c r="I546" s="20"/>
      <c r="J546" s="20"/>
      <c r="K546" s="20"/>
      <c r="L546" s="20"/>
      <c r="M546" s="20"/>
      <c r="N546" s="20"/>
      <c r="O546" s="20"/>
      <c r="P546" s="20"/>
      <c r="Q546" s="20"/>
      <c r="R546" s="20"/>
      <c r="S546" s="20"/>
      <c r="T546" s="20"/>
      <c r="U546" s="20"/>
      <c r="V546" s="20"/>
      <c r="W546" s="20"/>
      <c r="X546" s="20"/>
    </row>
    <row r="547" ht="12.0" customHeight="1">
      <c r="A547" s="20"/>
      <c r="B547" s="20"/>
      <c r="C547" s="20"/>
      <c r="D547" s="35"/>
      <c r="E547" s="20"/>
      <c r="F547" s="20"/>
      <c r="G547" s="20"/>
      <c r="H547" s="20"/>
      <c r="I547" s="20"/>
      <c r="J547" s="20"/>
      <c r="K547" s="20"/>
      <c r="L547" s="20"/>
      <c r="M547" s="20"/>
      <c r="N547" s="20"/>
      <c r="O547" s="20"/>
      <c r="P547" s="20"/>
      <c r="Q547" s="20"/>
      <c r="R547" s="20"/>
      <c r="S547" s="20"/>
      <c r="T547" s="20"/>
      <c r="U547" s="20"/>
      <c r="V547" s="20"/>
      <c r="W547" s="20"/>
      <c r="X547" s="20"/>
    </row>
    <row r="548" ht="12.0" customHeight="1">
      <c r="A548" s="20"/>
      <c r="B548" s="20"/>
      <c r="C548" s="20"/>
      <c r="D548" s="35"/>
      <c r="E548" s="20"/>
      <c r="F548" s="20"/>
      <c r="G548" s="20"/>
      <c r="H548" s="20"/>
      <c r="I548" s="20"/>
      <c r="J548" s="20"/>
      <c r="K548" s="20"/>
      <c r="L548" s="20"/>
      <c r="M548" s="20"/>
      <c r="N548" s="20"/>
      <c r="O548" s="20"/>
      <c r="P548" s="20"/>
      <c r="Q548" s="20"/>
      <c r="R548" s="20"/>
      <c r="S548" s="20"/>
      <c r="T548" s="20"/>
      <c r="U548" s="20"/>
      <c r="V548" s="20"/>
      <c r="W548" s="20"/>
      <c r="X548" s="20"/>
    </row>
    <row r="549" ht="12.0" customHeight="1">
      <c r="A549" s="20"/>
      <c r="B549" s="20"/>
      <c r="C549" s="20"/>
      <c r="D549" s="35"/>
      <c r="E549" s="20"/>
      <c r="F549" s="20"/>
      <c r="G549" s="20"/>
      <c r="H549" s="20"/>
      <c r="I549" s="20"/>
      <c r="J549" s="20"/>
      <c r="K549" s="20"/>
      <c r="L549" s="20"/>
      <c r="M549" s="20"/>
      <c r="N549" s="20"/>
      <c r="O549" s="20"/>
      <c r="P549" s="20"/>
      <c r="Q549" s="20"/>
      <c r="R549" s="20"/>
      <c r="S549" s="20"/>
      <c r="T549" s="20"/>
      <c r="U549" s="20"/>
      <c r="V549" s="20"/>
      <c r="W549" s="20"/>
      <c r="X549" s="20"/>
    </row>
    <row r="550" ht="12.0" customHeight="1">
      <c r="A550" s="20"/>
      <c r="B550" s="20"/>
      <c r="C550" s="20"/>
      <c r="D550" s="35"/>
      <c r="E550" s="20"/>
      <c r="F550" s="20"/>
      <c r="G550" s="20"/>
      <c r="H550" s="20"/>
      <c r="I550" s="20"/>
      <c r="J550" s="20"/>
      <c r="K550" s="20"/>
      <c r="L550" s="20"/>
      <c r="M550" s="20"/>
      <c r="N550" s="20"/>
      <c r="O550" s="20"/>
      <c r="P550" s="20"/>
      <c r="Q550" s="20"/>
      <c r="R550" s="20"/>
      <c r="S550" s="20"/>
      <c r="T550" s="20"/>
      <c r="U550" s="20"/>
      <c r="V550" s="20"/>
      <c r="W550" s="20"/>
      <c r="X550" s="20"/>
    </row>
    <row r="551" ht="12.0" customHeight="1">
      <c r="A551" s="20"/>
      <c r="B551" s="20"/>
      <c r="C551" s="20"/>
      <c r="D551" s="35"/>
      <c r="E551" s="20"/>
      <c r="F551" s="20"/>
      <c r="G551" s="20"/>
      <c r="H551" s="20"/>
      <c r="I551" s="20"/>
      <c r="J551" s="20"/>
      <c r="K551" s="20"/>
      <c r="L551" s="20"/>
      <c r="M551" s="20"/>
      <c r="N551" s="20"/>
      <c r="O551" s="20"/>
      <c r="P551" s="20"/>
      <c r="Q551" s="20"/>
      <c r="R551" s="20"/>
      <c r="S551" s="20"/>
      <c r="T551" s="20"/>
      <c r="U551" s="20"/>
      <c r="V551" s="20"/>
      <c r="W551" s="20"/>
      <c r="X551" s="20"/>
    </row>
    <row r="552" ht="12.0" customHeight="1">
      <c r="A552" s="20"/>
      <c r="B552" s="20"/>
      <c r="C552" s="20"/>
      <c r="D552" s="35"/>
      <c r="E552" s="20"/>
      <c r="F552" s="20"/>
      <c r="G552" s="20"/>
      <c r="H552" s="20"/>
      <c r="I552" s="20"/>
      <c r="J552" s="20"/>
      <c r="K552" s="20"/>
      <c r="L552" s="20"/>
      <c r="M552" s="20"/>
      <c r="N552" s="20"/>
      <c r="O552" s="20"/>
      <c r="P552" s="20"/>
      <c r="Q552" s="20"/>
      <c r="R552" s="20"/>
      <c r="S552" s="20"/>
      <c r="T552" s="20"/>
      <c r="U552" s="20"/>
      <c r="V552" s="20"/>
      <c r="W552" s="20"/>
      <c r="X552" s="20"/>
    </row>
    <row r="553" ht="12.0" customHeight="1">
      <c r="A553" s="20"/>
      <c r="B553" s="20"/>
      <c r="C553" s="20"/>
      <c r="D553" s="35"/>
      <c r="E553" s="20"/>
      <c r="F553" s="20"/>
      <c r="G553" s="20"/>
      <c r="H553" s="20"/>
      <c r="I553" s="20"/>
      <c r="J553" s="20"/>
      <c r="K553" s="20"/>
      <c r="L553" s="20"/>
      <c r="M553" s="20"/>
      <c r="N553" s="20"/>
      <c r="O553" s="20"/>
      <c r="P553" s="20"/>
      <c r="Q553" s="20"/>
      <c r="R553" s="20"/>
      <c r="S553" s="20"/>
      <c r="T553" s="20"/>
      <c r="U553" s="20"/>
      <c r="V553" s="20"/>
      <c r="W553" s="20"/>
      <c r="X553" s="20"/>
    </row>
    <row r="554" ht="12.0" customHeight="1">
      <c r="A554" s="20"/>
      <c r="B554" s="20"/>
      <c r="C554" s="20"/>
      <c r="D554" s="35"/>
      <c r="E554" s="20"/>
      <c r="F554" s="20"/>
      <c r="G554" s="20"/>
      <c r="H554" s="20"/>
      <c r="I554" s="20"/>
      <c r="J554" s="20"/>
      <c r="K554" s="20"/>
      <c r="L554" s="20"/>
      <c r="M554" s="20"/>
      <c r="N554" s="20"/>
      <c r="O554" s="20"/>
      <c r="P554" s="20"/>
      <c r="Q554" s="20"/>
      <c r="R554" s="20"/>
      <c r="S554" s="20"/>
      <c r="T554" s="20"/>
      <c r="U554" s="20"/>
      <c r="V554" s="20"/>
      <c r="W554" s="20"/>
      <c r="X554" s="20"/>
    </row>
    <row r="555" ht="12.0" customHeight="1">
      <c r="A555" s="20"/>
      <c r="B555" s="20"/>
      <c r="C555" s="20"/>
      <c r="D555" s="35"/>
      <c r="E555" s="20"/>
      <c r="F555" s="20"/>
      <c r="G555" s="20"/>
      <c r="H555" s="20"/>
      <c r="I555" s="20"/>
      <c r="J555" s="20"/>
      <c r="K555" s="20"/>
      <c r="L555" s="20"/>
      <c r="M555" s="20"/>
      <c r="N555" s="20"/>
      <c r="O555" s="20"/>
      <c r="P555" s="20"/>
      <c r="Q555" s="20"/>
      <c r="R555" s="20"/>
      <c r="S555" s="20"/>
      <c r="T555" s="20"/>
      <c r="U555" s="20"/>
      <c r="V555" s="20"/>
      <c r="W555" s="20"/>
      <c r="X555" s="20"/>
    </row>
    <row r="556" ht="12.0" customHeight="1">
      <c r="A556" s="20"/>
      <c r="B556" s="20"/>
      <c r="C556" s="20"/>
      <c r="D556" s="35"/>
      <c r="E556" s="20"/>
      <c r="F556" s="20"/>
      <c r="G556" s="20"/>
      <c r="H556" s="20"/>
      <c r="I556" s="20"/>
      <c r="J556" s="20"/>
      <c r="K556" s="20"/>
      <c r="L556" s="20"/>
      <c r="M556" s="20"/>
      <c r="N556" s="20"/>
      <c r="O556" s="20"/>
      <c r="P556" s="20"/>
      <c r="Q556" s="20"/>
      <c r="R556" s="20"/>
      <c r="S556" s="20"/>
      <c r="T556" s="20"/>
      <c r="U556" s="20"/>
      <c r="V556" s="20"/>
      <c r="W556" s="20"/>
      <c r="X556" s="20"/>
    </row>
    <row r="557" ht="12.0" customHeight="1">
      <c r="A557" s="20"/>
      <c r="B557" s="20"/>
      <c r="C557" s="20"/>
      <c r="D557" s="35"/>
      <c r="E557" s="20"/>
      <c r="F557" s="20"/>
      <c r="G557" s="20"/>
      <c r="H557" s="20"/>
      <c r="I557" s="20"/>
      <c r="J557" s="20"/>
      <c r="K557" s="20"/>
      <c r="L557" s="20"/>
      <c r="M557" s="20"/>
      <c r="N557" s="20"/>
      <c r="O557" s="20"/>
      <c r="P557" s="20"/>
      <c r="Q557" s="20"/>
      <c r="R557" s="20"/>
      <c r="S557" s="20"/>
      <c r="T557" s="20"/>
      <c r="U557" s="20"/>
      <c r="V557" s="20"/>
      <c r="W557" s="20"/>
      <c r="X557" s="20"/>
    </row>
    <row r="558" ht="12.0" customHeight="1">
      <c r="A558" s="20"/>
      <c r="B558" s="20"/>
      <c r="C558" s="20"/>
      <c r="D558" s="35"/>
      <c r="E558" s="20"/>
      <c r="F558" s="20"/>
      <c r="G558" s="20"/>
      <c r="H558" s="20"/>
      <c r="I558" s="20"/>
      <c r="J558" s="20"/>
      <c r="K558" s="20"/>
      <c r="L558" s="20"/>
      <c r="M558" s="20"/>
      <c r="N558" s="20"/>
      <c r="O558" s="20"/>
      <c r="P558" s="20"/>
      <c r="Q558" s="20"/>
      <c r="R558" s="20"/>
      <c r="S558" s="20"/>
      <c r="T558" s="20"/>
      <c r="U558" s="20"/>
      <c r="V558" s="20"/>
      <c r="W558" s="20"/>
      <c r="X558" s="20"/>
    </row>
    <row r="559" ht="12.0" customHeight="1">
      <c r="A559" s="20"/>
      <c r="B559" s="20"/>
      <c r="C559" s="20"/>
      <c r="D559" s="35"/>
      <c r="E559" s="20"/>
      <c r="F559" s="20"/>
      <c r="G559" s="20"/>
      <c r="H559" s="20"/>
      <c r="I559" s="20"/>
      <c r="J559" s="20"/>
      <c r="K559" s="20"/>
      <c r="L559" s="20"/>
      <c r="M559" s="20"/>
      <c r="N559" s="20"/>
      <c r="O559" s="20"/>
      <c r="P559" s="20"/>
      <c r="Q559" s="20"/>
      <c r="R559" s="20"/>
      <c r="S559" s="20"/>
      <c r="T559" s="20"/>
      <c r="U559" s="20"/>
      <c r="V559" s="20"/>
      <c r="W559" s="20"/>
      <c r="X559" s="20"/>
    </row>
    <row r="560" ht="12.0" customHeight="1">
      <c r="A560" s="20"/>
      <c r="B560" s="20"/>
      <c r="C560" s="20"/>
      <c r="D560" s="35"/>
      <c r="E560" s="20"/>
      <c r="F560" s="20"/>
      <c r="G560" s="20"/>
      <c r="H560" s="20"/>
      <c r="I560" s="20"/>
      <c r="J560" s="20"/>
      <c r="K560" s="20"/>
      <c r="L560" s="20"/>
      <c r="M560" s="20"/>
      <c r="N560" s="20"/>
      <c r="O560" s="20"/>
      <c r="P560" s="20"/>
      <c r="Q560" s="20"/>
      <c r="R560" s="20"/>
      <c r="S560" s="20"/>
      <c r="T560" s="20"/>
      <c r="U560" s="20"/>
      <c r="V560" s="20"/>
      <c r="W560" s="20"/>
      <c r="X560" s="20"/>
    </row>
    <row r="561" ht="12.0" customHeight="1">
      <c r="A561" s="20"/>
      <c r="B561" s="20"/>
      <c r="C561" s="20"/>
      <c r="D561" s="35"/>
      <c r="E561" s="20"/>
      <c r="F561" s="20"/>
      <c r="G561" s="20"/>
      <c r="H561" s="20"/>
      <c r="I561" s="20"/>
      <c r="J561" s="20"/>
      <c r="K561" s="20"/>
      <c r="L561" s="20"/>
      <c r="M561" s="20"/>
      <c r="N561" s="20"/>
      <c r="O561" s="20"/>
      <c r="P561" s="20"/>
      <c r="Q561" s="20"/>
      <c r="R561" s="20"/>
      <c r="S561" s="20"/>
      <c r="T561" s="20"/>
      <c r="U561" s="20"/>
      <c r="V561" s="20"/>
      <c r="W561" s="20"/>
      <c r="X561" s="20"/>
    </row>
    <row r="562" ht="12.0" customHeight="1">
      <c r="A562" s="20"/>
      <c r="B562" s="20"/>
      <c r="C562" s="20"/>
      <c r="D562" s="35"/>
      <c r="E562" s="20"/>
      <c r="F562" s="20"/>
      <c r="G562" s="20"/>
      <c r="H562" s="20"/>
      <c r="I562" s="20"/>
      <c r="J562" s="20"/>
      <c r="K562" s="20"/>
      <c r="L562" s="20"/>
      <c r="M562" s="20"/>
      <c r="N562" s="20"/>
      <c r="O562" s="20"/>
      <c r="P562" s="20"/>
      <c r="Q562" s="20"/>
      <c r="R562" s="20"/>
      <c r="S562" s="20"/>
      <c r="T562" s="20"/>
      <c r="U562" s="20"/>
      <c r="V562" s="20"/>
      <c r="W562" s="20"/>
      <c r="X562" s="20"/>
    </row>
    <row r="563" ht="12.0" customHeight="1">
      <c r="A563" s="20"/>
      <c r="B563" s="20"/>
      <c r="C563" s="20"/>
      <c r="D563" s="35"/>
      <c r="E563" s="20"/>
      <c r="F563" s="20"/>
      <c r="G563" s="20"/>
      <c r="H563" s="20"/>
      <c r="I563" s="20"/>
      <c r="J563" s="20"/>
      <c r="K563" s="20"/>
      <c r="L563" s="20"/>
      <c r="M563" s="20"/>
      <c r="N563" s="20"/>
      <c r="O563" s="20"/>
      <c r="P563" s="20"/>
      <c r="Q563" s="20"/>
      <c r="R563" s="20"/>
      <c r="S563" s="20"/>
      <c r="T563" s="20"/>
      <c r="U563" s="20"/>
      <c r="V563" s="20"/>
      <c r="W563" s="20"/>
      <c r="X563" s="20"/>
    </row>
    <row r="564" ht="12.0" customHeight="1">
      <c r="A564" s="20"/>
      <c r="B564" s="20"/>
      <c r="C564" s="20"/>
      <c r="D564" s="35"/>
      <c r="E564" s="20"/>
      <c r="F564" s="20"/>
      <c r="G564" s="20"/>
      <c r="H564" s="20"/>
      <c r="I564" s="20"/>
      <c r="J564" s="20"/>
      <c r="K564" s="20"/>
      <c r="L564" s="20"/>
      <c r="M564" s="20"/>
      <c r="N564" s="20"/>
      <c r="O564" s="20"/>
      <c r="P564" s="20"/>
      <c r="Q564" s="20"/>
      <c r="R564" s="20"/>
      <c r="S564" s="20"/>
      <c r="T564" s="20"/>
      <c r="U564" s="20"/>
      <c r="V564" s="20"/>
      <c r="W564" s="20"/>
      <c r="X564" s="20"/>
    </row>
    <row r="565" ht="12.0" customHeight="1">
      <c r="A565" s="20"/>
      <c r="B565" s="20"/>
      <c r="C565" s="20"/>
      <c r="D565" s="35"/>
      <c r="E565" s="20"/>
      <c r="F565" s="20"/>
      <c r="G565" s="20"/>
      <c r="H565" s="20"/>
      <c r="I565" s="20"/>
      <c r="J565" s="20"/>
      <c r="K565" s="20"/>
      <c r="L565" s="20"/>
      <c r="M565" s="20"/>
      <c r="N565" s="20"/>
      <c r="O565" s="20"/>
      <c r="P565" s="20"/>
      <c r="Q565" s="20"/>
      <c r="R565" s="20"/>
      <c r="S565" s="20"/>
      <c r="T565" s="20"/>
      <c r="U565" s="20"/>
      <c r="V565" s="20"/>
      <c r="W565" s="20"/>
      <c r="X565" s="20"/>
    </row>
    <row r="566" ht="12.0" customHeight="1">
      <c r="A566" s="20"/>
      <c r="B566" s="20"/>
      <c r="C566" s="20"/>
      <c r="D566" s="35"/>
      <c r="E566" s="20"/>
      <c r="F566" s="20"/>
      <c r="G566" s="20"/>
      <c r="H566" s="20"/>
      <c r="I566" s="20"/>
      <c r="J566" s="20"/>
      <c r="K566" s="20"/>
      <c r="L566" s="20"/>
      <c r="M566" s="20"/>
      <c r="N566" s="20"/>
      <c r="O566" s="20"/>
      <c r="P566" s="20"/>
      <c r="Q566" s="20"/>
      <c r="R566" s="20"/>
      <c r="S566" s="20"/>
      <c r="T566" s="20"/>
      <c r="U566" s="20"/>
      <c r="V566" s="20"/>
      <c r="W566" s="20"/>
      <c r="X566" s="20"/>
    </row>
    <row r="567" ht="12.0" customHeight="1">
      <c r="A567" s="20"/>
      <c r="B567" s="20"/>
      <c r="C567" s="20"/>
      <c r="D567" s="35"/>
      <c r="E567" s="20"/>
      <c r="F567" s="20"/>
      <c r="G567" s="20"/>
      <c r="H567" s="20"/>
      <c r="I567" s="20"/>
      <c r="J567" s="20"/>
      <c r="K567" s="20"/>
      <c r="L567" s="20"/>
      <c r="M567" s="20"/>
      <c r="N567" s="20"/>
      <c r="O567" s="20"/>
      <c r="P567" s="20"/>
      <c r="Q567" s="20"/>
      <c r="R567" s="20"/>
      <c r="S567" s="20"/>
      <c r="T567" s="20"/>
      <c r="U567" s="20"/>
      <c r="V567" s="20"/>
      <c r="W567" s="20"/>
      <c r="X567" s="20"/>
    </row>
    <row r="568" ht="12.0" customHeight="1">
      <c r="A568" s="20"/>
      <c r="B568" s="20"/>
      <c r="C568" s="20"/>
      <c r="D568" s="35"/>
      <c r="E568" s="20"/>
      <c r="F568" s="20"/>
      <c r="G568" s="20"/>
      <c r="H568" s="20"/>
      <c r="I568" s="20"/>
      <c r="J568" s="20"/>
      <c r="K568" s="20"/>
      <c r="L568" s="20"/>
      <c r="M568" s="20"/>
      <c r="N568" s="20"/>
      <c r="O568" s="20"/>
      <c r="P568" s="20"/>
      <c r="Q568" s="20"/>
      <c r="R568" s="20"/>
      <c r="S568" s="20"/>
      <c r="T568" s="20"/>
      <c r="U568" s="20"/>
      <c r="V568" s="20"/>
      <c r="W568" s="20"/>
      <c r="X568" s="20"/>
    </row>
    <row r="569" ht="12.0" customHeight="1">
      <c r="A569" s="20"/>
      <c r="B569" s="20"/>
      <c r="C569" s="20"/>
      <c r="D569" s="35"/>
      <c r="E569" s="20"/>
      <c r="F569" s="20"/>
      <c r="G569" s="20"/>
      <c r="H569" s="20"/>
      <c r="I569" s="20"/>
      <c r="J569" s="20"/>
      <c r="K569" s="20"/>
      <c r="L569" s="20"/>
      <c r="M569" s="20"/>
      <c r="N569" s="20"/>
      <c r="O569" s="20"/>
      <c r="P569" s="20"/>
      <c r="Q569" s="20"/>
      <c r="R569" s="20"/>
      <c r="S569" s="20"/>
      <c r="T569" s="20"/>
      <c r="U569" s="20"/>
      <c r="V569" s="20"/>
      <c r="W569" s="20"/>
      <c r="X569" s="20"/>
    </row>
    <row r="570" ht="12.0" customHeight="1">
      <c r="A570" s="20"/>
      <c r="B570" s="20"/>
      <c r="C570" s="20"/>
      <c r="D570" s="35"/>
      <c r="E570" s="20"/>
      <c r="F570" s="20"/>
      <c r="G570" s="20"/>
      <c r="H570" s="20"/>
      <c r="I570" s="20"/>
      <c r="J570" s="20"/>
      <c r="K570" s="20"/>
      <c r="L570" s="20"/>
      <c r="M570" s="20"/>
      <c r="N570" s="20"/>
      <c r="O570" s="20"/>
      <c r="P570" s="20"/>
      <c r="Q570" s="20"/>
      <c r="R570" s="20"/>
      <c r="S570" s="20"/>
      <c r="T570" s="20"/>
      <c r="U570" s="20"/>
      <c r="V570" s="20"/>
      <c r="W570" s="20"/>
      <c r="X570" s="20"/>
    </row>
    <row r="571" ht="12.0" customHeight="1">
      <c r="A571" s="20"/>
      <c r="B571" s="20"/>
      <c r="C571" s="20"/>
      <c r="D571" s="35"/>
      <c r="E571" s="20"/>
      <c r="F571" s="20"/>
      <c r="G571" s="20"/>
      <c r="H571" s="20"/>
      <c r="I571" s="20"/>
      <c r="J571" s="20"/>
      <c r="K571" s="20"/>
      <c r="L571" s="20"/>
      <c r="M571" s="20"/>
      <c r="N571" s="20"/>
      <c r="O571" s="20"/>
      <c r="P571" s="20"/>
      <c r="Q571" s="20"/>
      <c r="R571" s="20"/>
      <c r="S571" s="20"/>
      <c r="T571" s="20"/>
      <c r="U571" s="20"/>
      <c r="V571" s="20"/>
      <c r="W571" s="20"/>
      <c r="X571" s="20"/>
    </row>
    <row r="572" ht="12.0" customHeight="1">
      <c r="A572" s="20"/>
      <c r="B572" s="20"/>
      <c r="C572" s="20"/>
      <c r="D572" s="35"/>
      <c r="E572" s="20"/>
      <c r="F572" s="20"/>
      <c r="G572" s="20"/>
      <c r="H572" s="20"/>
      <c r="I572" s="20"/>
      <c r="J572" s="20"/>
      <c r="K572" s="20"/>
      <c r="L572" s="20"/>
      <c r="M572" s="20"/>
      <c r="N572" s="20"/>
      <c r="O572" s="20"/>
      <c r="P572" s="20"/>
      <c r="Q572" s="20"/>
      <c r="R572" s="20"/>
      <c r="S572" s="20"/>
      <c r="T572" s="20"/>
      <c r="U572" s="20"/>
      <c r="V572" s="20"/>
      <c r="W572" s="20"/>
      <c r="X572" s="20"/>
    </row>
    <row r="573" ht="12.0" customHeight="1">
      <c r="A573" s="20"/>
      <c r="B573" s="20"/>
      <c r="C573" s="20"/>
      <c r="D573" s="35"/>
      <c r="E573" s="20"/>
      <c r="F573" s="20"/>
      <c r="G573" s="20"/>
      <c r="H573" s="20"/>
      <c r="I573" s="20"/>
      <c r="J573" s="20"/>
      <c r="K573" s="20"/>
      <c r="L573" s="20"/>
      <c r="M573" s="20"/>
      <c r="N573" s="20"/>
      <c r="O573" s="20"/>
      <c r="P573" s="20"/>
      <c r="Q573" s="20"/>
      <c r="R573" s="20"/>
      <c r="S573" s="20"/>
      <c r="T573" s="20"/>
      <c r="U573" s="20"/>
      <c r="V573" s="20"/>
      <c r="W573" s="20"/>
      <c r="X573" s="20"/>
    </row>
    <row r="574" ht="12.0" customHeight="1">
      <c r="A574" s="20"/>
      <c r="B574" s="20"/>
      <c r="C574" s="20"/>
      <c r="D574" s="35"/>
      <c r="E574" s="20"/>
      <c r="F574" s="20"/>
      <c r="G574" s="20"/>
      <c r="H574" s="20"/>
      <c r="I574" s="20"/>
      <c r="J574" s="20"/>
      <c r="K574" s="20"/>
      <c r="L574" s="20"/>
      <c r="M574" s="20"/>
      <c r="N574" s="20"/>
      <c r="O574" s="20"/>
      <c r="P574" s="20"/>
      <c r="Q574" s="20"/>
      <c r="R574" s="20"/>
      <c r="S574" s="20"/>
      <c r="T574" s="20"/>
      <c r="U574" s="20"/>
      <c r="V574" s="20"/>
      <c r="W574" s="20"/>
      <c r="X574" s="20"/>
    </row>
    <row r="575" ht="12.0" customHeight="1">
      <c r="A575" s="20"/>
      <c r="B575" s="20"/>
      <c r="C575" s="20"/>
      <c r="D575" s="35"/>
      <c r="E575" s="20"/>
      <c r="F575" s="20"/>
      <c r="G575" s="20"/>
      <c r="H575" s="20"/>
      <c r="I575" s="20"/>
      <c r="J575" s="20"/>
      <c r="K575" s="20"/>
      <c r="L575" s="20"/>
      <c r="M575" s="20"/>
      <c r="N575" s="20"/>
      <c r="O575" s="20"/>
      <c r="P575" s="20"/>
      <c r="Q575" s="20"/>
      <c r="R575" s="20"/>
      <c r="S575" s="20"/>
      <c r="T575" s="20"/>
      <c r="U575" s="20"/>
      <c r="V575" s="20"/>
      <c r="W575" s="20"/>
      <c r="X575" s="20"/>
    </row>
    <row r="576" ht="12.0" customHeight="1">
      <c r="A576" s="20"/>
      <c r="B576" s="20"/>
      <c r="C576" s="20"/>
      <c r="D576" s="35"/>
      <c r="E576" s="20"/>
      <c r="F576" s="20"/>
      <c r="G576" s="20"/>
      <c r="H576" s="20"/>
      <c r="I576" s="20"/>
      <c r="J576" s="20"/>
      <c r="K576" s="20"/>
      <c r="L576" s="20"/>
      <c r="M576" s="20"/>
      <c r="N576" s="20"/>
      <c r="O576" s="20"/>
      <c r="P576" s="20"/>
      <c r="Q576" s="20"/>
      <c r="R576" s="20"/>
      <c r="S576" s="20"/>
      <c r="T576" s="20"/>
      <c r="U576" s="20"/>
      <c r="V576" s="20"/>
      <c r="W576" s="20"/>
      <c r="X576" s="20"/>
    </row>
    <row r="577" ht="12.0" customHeight="1">
      <c r="A577" s="20"/>
      <c r="B577" s="20"/>
      <c r="C577" s="20"/>
      <c r="D577" s="35"/>
      <c r="E577" s="20"/>
      <c r="F577" s="20"/>
      <c r="G577" s="20"/>
      <c r="H577" s="20"/>
      <c r="I577" s="20"/>
      <c r="J577" s="20"/>
      <c r="K577" s="20"/>
      <c r="L577" s="20"/>
      <c r="M577" s="20"/>
      <c r="N577" s="20"/>
      <c r="O577" s="20"/>
      <c r="P577" s="20"/>
      <c r="Q577" s="20"/>
      <c r="R577" s="20"/>
      <c r="S577" s="20"/>
      <c r="T577" s="20"/>
      <c r="U577" s="20"/>
      <c r="V577" s="20"/>
      <c r="W577" s="20"/>
      <c r="X577" s="20"/>
    </row>
    <row r="578" ht="12.0" customHeight="1">
      <c r="A578" s="20"/>
      <c r="B578" s="20"/>
      <c r="C578" s="20"/>
      <c r="D578" s="35"/>
      <c r="E578" s="20"/>
      <c r="F578" s="20"/>
      <c r="G578" s="20"/>
      <c r="H578" s="20"/>
      <c r="I578" s="20"/>
      <c r="J578" s="20"/>
      <c r="K578" s="20"/>
      <c r="L578" s="20"/>
      <c r="M578" s="20"/>
      <c r="N578" s="20"/>
      <c r="O578" s="20"/>
      <c r="P578" s="20"/>
      <c r="Q578" s="20"/>
      <c r="R578" s="20"/>
      <c r="S578" s="20"/>
      <c r="T578" s="20"/>
      <c r="U578" s="20"/>
      <c r="V578" s="20"/>
      <c r="W578" s="20"/>
      <c r="X578" s="20"/>
    </row>
    <row r="579" ht="12.0" customHeight="1">
      <c r="A579" s="20"/>
      <c r="B579" s="20"/>
      <c r="C579" s="20"/>
      <c r="D579" s="35"/>
      <c r="E579" s="20"/>
      <c r="F579" s="20"/>
      <c r="G579" s="20"/>
      <c r="H579" s="20"/>
      <c r="I579" s="20"/>
      <c r="J579" s="20"/>
      <c r="K579" s="20"/>
      <c r="L579" s="20"/>
      <c r="M579" s="20"/>
      <c r="N579" s="20"/>
      <c r="O579" s="20"/>
      <c r="P579" s="20"/>
      <c r="Q579" s="20"/>
      <c r="R579" s="20"/>
      <c r="S579" s="20"/>
      <c r="T579" s="20"/>
      <c r="U579" s="20"/>
      <c r="V579" s="20"/>
      <c r="W579" s="20"/>
      <c r="X579" s="20"/>
    </row>
    <row r="580" ht="12.0" customHeight="1">
      <c r="A580" s="20"/>
      <c r="B580" s="20"/>
      <c r="C580" s="20"/>
      <c r="D580" s="35"/>
      <c r="E580" s="20"/>
      <c r="F580" s="20"/>
      <c r="G580" s="20"/>
      <c r="H580" s="20"/>
      <c r="I580" s="20"/>
      <c r="J580" s="20"/>
      <c r="K580" s="20"/>
      <c r="L580" s="20"/>
      <c r="M580" s="20"/>
      <c r="N580" s="20"/>
      <c r="O580" s="20"/>
      <c r="P580" s="20"/>
      <c r="Q580" s="20"/>
      <c r="R580" s="20"/>
      <c r="S580" s="20"/>
      <c r="T580" s="20"/>
      <c r="U580" s="20"/>
      <c r="V580" s="20"/>
      <c r="W580" s="20"/>
      <c r="X580" s="20"/>
    </row>
    <row r="581" ht="12.0" customHeight="1">
      <c r="A581" s="20"/>
      <c r="B581" s="20"/>
      <c r="C581" s="20"/>
      <c r="D581" s="35"/>
      <c r="E581" s="20"/>
      <c r="F581" s="20"/>
      <c r="G581" s="20"/>
      <c r="H581" s="20"/>
      <c r="I581" s="20"/>
      <c r="J581" s="20"/>
      <c r="K581" s="20"/>
      <c r="L581" s="20"/>
      <c r="M581" s="20"/>
      <c r="N581" s="20"/>
      <c r="O581" s="20"/>
      <c r="P581" s="20"/>
      <c r="Q581" s="20"/>
      <c r="R581" s="20"/>
      <c r="S581" s="20"/>
      <c r="T581" s="20"/>
      <c r="U581" s="20"/>
      <c r="V581" s="20"/>
      <c r="W581" s="20"/>
      <c r="X581" s="20"/>
    </row>
    <row r="582" ht="12.0" customHeight="1">
      <c r="A582" s="20"/>
      <c r="B582" s="20"/>
      <c r="C582" s="20"/>
      <c r="D582" s="35"/>
      <c r="E582" s="20"/>
      <c r="F582" s="20"/>
      <c r="G582" s="20"/>
      <c r="H582" s="20"/>
      <c r="I582" s="20"/>
      <c r="J582" s="20"/>
      <c r="K582" s="20"/>
      <c r="L582" s="20"/>
      <c r="M582" s="20"/>
      <c r="N582" s="20"/>
      <c r="O582" s="20"/>
      <c r="P582" s="20"/>
      <c r="Q582" s="20"/>
      <c r="R582" s="20"/>
      <c r="S582" s="20"/>
      <c r="T582" s="20"/>
      <c r="U582" s="20"/>
      <c r="V582" s="20"/>
      <c r="W582" s="20"/>
      <c r="X582" s="20"/>
    </row>
    <row r="583" ht="12.0" customHeight="1">
      <c r="A583" s="20"/>
      <c r="B583" s="20"/>
      <c r="C583" s="20"/>
      <c r="D583" s="35"/>
      <c r="E583" s="20"/>
      <c r="F583" s="20"/>
      <c r="G583" s="20"/>
      <c r="H583" s="20"/>
      <c r="I583" s="20"/>
      <c r="J583" s="20"/>
      <c r="K583" s="20"/>
      <c r="L583" s="20"/>
      <c r="M583" s="20"/>
      <c r="N583" s="20"/>
      <c r="O583" s="20"/>
      <c r="P583" s="20"/>
      <c r="Q583" s="20"/>
      <c r="R583" s="20"/>
      <c r="S583" s="20"/>
      <c r="T583" s="20"/>
      <c r="U583" s="20"/>
      <c r="V583" s="20"/>
      <c r="W583" s="20"/>
      <c r="X583" s="20"/>
    </row>
    <row r="584" ht="12.0" customHeight="1">
      <c r="A584" s="20"/>
      <c r="B584" s="20"/>
      <c r="C584" s="20"/>
      <c r="D584" s="35"/>
      <c r="E584" s="20"/>
      <c r="F584" s="20"/>
      <c r="G584" s="20"/>
      <c r="H584" s="20"/>
      <c r="I584" s="20"/>
      <c r="J584" s="20"/>
      <c r="K584" s="20"/>
      <c r="L584" s="20"/>
      <c r="M584" s="20"/>
      <c r="N584" s="20"/>
      <c r="O584" s="20"/>
      <c r="P584" s="20"/>
      <c r="Q584" s="20"/>
      <c r="R584" s="20"/>
      <c r="S584" s="20"/>
      <c r="T584" s="20"/>
      <c r="U584" s="20"/>
      <c r="V584" s="20"/>
      <c r="W584" s="20"/>
      <c r="X584" s="20"/>
    </row>
    <row r="585" ht="12.0" customHeight="1">
      <c r="A585" s="20"/>
      <c r="B585" s="20"/>
      <c r="C585" s="20"/>
      <c r="D585" s="35"/>
      <c r="E585" s="20"/>
      <c r="F585" s="20"/>
      <c r="G585" s="20"/>
      <c r="H585" s="20"/>
      <c r="I585" s="20"/>
      <c r="J585" s="20"/>
      <c r="K585" s="20"/>
      <c r="L585" s="20"/>
      <c r="M585" s="20"/>
      <c r="N585" s="20"/>
      <c r="O585" s="20"/>
      <c r="P585" s="20"/>
      <c r="Q585" s="20"/>
      <c r="R585" s="20"/>
      <c r="S585" s="20"/>
      <c r="T585" s="20"/>
      <c r="U585" s="20"/>
      <c r="V585" s="20"/>
      <c r="W585" s="20"/>
      <c r="X585" s="20"/>
    </row>
    <row r="586" ht="12.0" customHeight="1">
      <c r="A586" s="20"/>
      <c r="B586" s="20"/>
      <c r="C586" s="20"/>
      <c r="D586" s="35"/>
      <c r="E586" s="20"/>
      <c r="F586" s="20"/>
      <c r="G586" s="20"/>
      <c r="H586" s="20"/>
      <c r="I586" s="20"/>
      <c r="J586" s="20"/>
      <c r="K586" s="20"/>
      <c r="L586" s="20"/>
      <c r="M586" s="20"/>
      <c r="N586" s="20"/>
      <c r="O586" s="20"/>
      <c r="P586" s="20"/>
      <c r="Q586" s="20"/>
      <c r="R586" s="20"/>
      <c r="S586" s="20"/>
      <c r="T586" s="20"/>
      <c r="U586" s="20"/>
      <c r="V586" s="20"/>
      <c r="W586" s="20"/>
      <c r="X586" s="20"/>
    </row>
    <row r="587" ht="12.0" customHeight="1">
      <c r="A587" s="20"/>
      <c r="B587" s="20"/>
      <c r="C587" s="20"/>
      <c r="D587" s="35"/>
      <c r="E587" s="20"/>
      <c r="F587" s="20"/>
      <c r="G587" s="20"/>
      <c r="H587" s="20"/>
      <c r="I587" s="20"/>
      <c r="J587" s="20"/>
      <c r="K587" s="20"/>
      <c r="L587" s="20"/>
      <c r="M587" s="20"/>
      <c r="N587" s="20"/>
      <c r="O587" s="20"/>
      <c r="P587" s="20"/>
      <c r="Q587" s="20"/>
      <c r="R587" s="20"/>
      <c r="S587" s="20"/>
      <c r="T587" s="20"/>
      <c r="U587" s="20"/>
      <c r="V587" s="20"/>
      <c r="W587" s="20"/>
      <c r="X587" s="20"/>
    </row>
    <row r="588" ht="12.0" customHeight="1">
      <c r="A588" s="20"/>
      <c r="B588" s="20"/>
      <c r="C588" s="20"/>
      <c r="D588" s="35"/>
      <c r="E588" s="20"/>
      <c r="F588" s="20"/>
      <c r="G588" s="20"/>
      <c r="H588" s="20"/>
      <c r="I588" s="20"/>
      <c r="J588" s="20"/>
      <c r="K588" s="20"/>
      <c r="L588" s="20"/>
      <c r="M588" s="20"/>
      <c r="N588" s="20"/>
      <c r="O588" s="20"/>
      <c r="P588" s="20"/>
      <c r="Q588" s="20"/>
      <c r="R588" s="20"/>
      <c r="S588" s="20"/>
      <c r="T588" s="20"/>
      <c r="U588" s="20"/>
      <c r="V588" s="20"/>
      <c r="W588" s="20"/>
      <c r="X588" s="20"/>
    </row>
    <row r="589" ht="12.0" customHeight="1">
      <c r="A589" s="20"/>
      <c r="B589" s="20"/>
      <c r="C589" s="20"/>
      <c r="D589" s="35"/>
      <c r="E589" s="20"/>
      <c r="F589" s="20"/>
      <c r="G589" s="20"/>
      <c r="H589" s="20"/>
      <c r="I589" s="20"/>
      <c r="J589" s="20"/>
      <c r="K589" s="20"/>
      <c r="L589" s="20"/>
      <c r="M589" s="20"/>
      <c r="N589" s="20"/>
      <c r="O589" s="20"/>
      <c r="P589" s="20"/>
      <c r="Q589" s="20"/>
      <c r="R589" s="20"/>
      <c r="S589" s="20"/>
      <c r="T589" s="20"/>
      <c r="U589" s="20"/>
      <c r="V589" s="20"/>
      <c r="W589" s="20"/>
      <c r="X589" s="20"/>
    </row>
    <row r="590" ht="12.0" customHeight="1">
      <c r="A590" s="20"/>
      <c r="B590" s="20"/>
      <c r="C590" s="20"/>
      <c r="D590" s="35"/>
      <c r="E590" s="20"/>
      <c r="F590" s="20"/>
      <c r="G590" s="20"/>
      <c r="H590" s="20"/>
      <c r="I590" s="20"/>
      <c r="J590" s="20"/>
      <c r="K590" s="20"/>
      <c r="L590" s="20"/>
      <c r="M590" s="20"/>
      <c r="N590" s="20"/>
      <c r="O590" s="20"/>
      <c r="P590" s="20"/>
      <c r="Q590" s="20"/>
      <c r="R590" s="20"/>
      <c r="S590" s="20"/>
      <c r="T590" s="20"/>
      <c r="U590" s="20"/>
      <c r="V590" s="20"/>
      <c r="W590" s="20"/>
      <c r="X590" s="20"/>
    </row>
    <row r="591" ht="12.0" customHeight="1">
      <c r="A591" s="20"/>
      <c r="B591" s="20"/>
      <c r="C591" s="20"/>
      <c r="D591" s="35"/>
      <c r="E591" s="20"/>
      <c r="F591" s="20"/>
      <c r="G591" s="20"/>
      <c r="H591" s="20"/>
      <c r="I591" s="20"/>
      <c r="J591" s="20"/>
      <c r="K591" s="20"/>
      <c r="L591" s="20"/>
      <c r="M591" s="20"/>
      <c r="N591" s="20"/>
      <c r="O591" s="20"/>
      <c r="P591" s="20"/>
      <c r="Q591" s="20"/>
      <c r="R591" s="20"/>
      <c r="S591" s="20"/>
      <c r="T591" s="20"/>
      <c r="U591" s="20"/>
      <c r="V591" s="20"/>
      <c r="W591" s="20"/>
      <c r="X591" s="20"/>
    </row>
    <row r="592" ht="12.0" customHeight="1">
      <c r="A592" s="20"/>
      <c r="B592" s="20"/>
      <c r="C592" s="20"/>
      <c r="D592" s="35"/>
      <c r="E592" s="20"/>
      <c r="F592" s="20"/>
      <c r="G592" s="20"/>
      <c r="H592" s="20"/>
      <c r="I592" s="20"/>
      <c r="J592" s="20"/>
      <c r="K592" s="20"/>
      <c r="L592" s="20"/>
      <c r="M592" s="20"/>
      <c r="N592" s="20"/>
      <c r="O592" s="20"/>
      <c r="P592" s="20"/>
      <c r="Q592" s="20"/>
      <c r="R592" s="20"/>
      <c r="S592" s="20"/>
      <c r="T592" s="20"/>
      <c r="U592" s="20"/>
      <c r="V592" s="20"/>
      <c r="W592" s="20"/>
      <c r="X592" s="20"/>
    </row>
    <row r="593" ht="12.0" customHeight="1">
      <c r="A593" s="20"/>
      <c r="B593" s="20"/>
      <c r="C593" s="20"/>
      <c r="D593" s="35"/>
      <c r="E593" s="20"/>
      <c r="F593" s="20"/>
      <c r="G593" s="20"/>
      <c r="H593" s="20"/>
      <c r="I593" s="20"/>
      <c r="J593" s="20"/>
      <c r="K593" s="20"/>
      <c r="L593" s="20"/>
      <c r="M593" s="20"/>
      <c r="N593" s="20"/>
      <c r="O593" s="20"/>
      <c r="P593" s="20"/>
      <c r="Q593" s="20"/>
      <c r="R593" s="20"/>
      <c r="S593" s="20"/>
      <c r="T593" s="20"/>
      <c r="U593" s="20"/>
      <c r="V593" s="20"/>
      <c r="W593" s="20"/>
      <c r="X593" s="20"/>
    </row>
    <row r="594" ht="12.0" customHeight="1">
      <c r="A594" s="20"/>
      <c r="B594" s="20"/>
      <c r="C594" s="20"/>
      <c r="D594" s="35"/>
      <c r="E594" s="20"/>
      <c r="F594" s="20"/>
      <c r="G594" s="20"/>
      <c r="H594" s="20"/>
      <c r="I594" s="20"/>
      <c r="J594" s="20"/>
      <c r="K594" s="20"/>
      <c r="L594" s="20"/>
      <c r="M594" s="20"/>
      <c r="N594" s="20"/>
      <c r="O594" s="20"/>
      <c r="P594" s="20"/>
      <c r="Q594" s="20"/>
      <c r="R594" s="20"/>
      <c r="S594" s="20"/>
      <c r="T594" s="20"/>
      <c r="U594" s="20"/>
      <c r="V594" s="20"/>
      <c r="W594" s="20"/>
      <c r="X594" s="20"/>
    </row>
    <row r="595" ht="12.0" customHeight="1">
      <c r="A595" s="20"/>
      <c r="B595" s="20"/>
      <c r="C595" s="20"/>
      <c r="D595" s="35"/>
      <c r="E595" s="20"/>
      <c r="F595" s="20"/>
      <c r="G595" s="20"/>
      <c r="H595" s="20"/>
      <c r="I595" s="20"/>
      <c r="J595" s="20"/>
      <c r="K595" s="20"/>
      <c r="L595" s="20"/>
      <c r="M595" s="20"/>
      <c r="N595" s="20"/>
      <c r="O595" s="20"/>
      <c r="P595" s="20"/>
      <c r="Q595" s="20"/>
      <c r="R595" s="20"/>
      <c r="S595" s="20"/>
      <c r="T595" s="20"/>
      <c r="U595" s="20"/>
      <c r="V595" s="20"/>
      <c r="W595" s="20"/>
      <c r="X595" s="20"/>
    </row>
    <row r="596" ht="12.0" customHeight="1">
      <c r="A596" s="20"/>
      <c r="B596" s="20"/>
      <c r="C596" s="20"/>
      <c r="D596" s="35"/>
      <c r="E596" s="20"/>
      <c r="F596" s="20"/>
      <c r="G596" s="20"/>
      <c r="H596" s="20"/>
      <c r="I596" s="20"/>
      <c r="J596" s="20"/>
      <c r="K596" s="20"/>
      <c r="L596" s="20"/>
      <c r="M596" s="20"/>
      <c r="N596" s="20"/>
      <c r="O596" s="20"/>
      <c r="P596" s="20"/>
      <c r="Q596" s="20"/>
      <c r="R596" s="20"/>
      <c r="S596" s="20"/>
      <c r="T596" s="20"/>
      <c r="U596" s="20"/>
      <c r="V596" s="20"/>
      <c r="W596" s="20"/>
      <c r="X596" s="20"/>
    </row>
    <row r="597" ht="12.0" customHeight="1">
      <c r="A597" s="20"/>
      <c r="B597" s="20"/>
      <c r="C597" s="20"/>
      <c r="D597" s="35"/>
      <c r="E597" s="20"/>
      <c r="F597" s="20"/>
      <c r="G597" s="20"/>
      <c r="H597" s="20"/>
      <c r="I597" s="20"/>
      <c r="J597" s="20"/>
      <c r="K597" s="20"/>
      <c r="L597" s="20"/>
      <c r="M597" s="20"/>
      <c r="N597" s="20"/>
      <c r="O597" s="20"/>
      <c r="P597" s="20"/>
      <c r="Q597" s="20"/>
      <c r="R597" s="20"/>
      <c r="S597" s="20"/>
      <c r="T597" s="20"/>
      <c r="U597" s="20"/>
      <c r="V597" s="20"/>
      <c r="W597" s="20"/>
      <c r="X597" s="20"/>
    </row>
    <row r="598" ht="12.0" customHeight="1">
      <c r="A598" s="20"/>
      <c r="B598" s="20"/>
      <c r="C598" s="20"/>
      <c r="D598" s="35"/>
      <c r="E598" s="20"/>
      <c r="F598" s="20"/>
      <c r="G598" s="20"/>
      <c r="H598" s="20"/>
      <c r="I598" s="20"/>
      <c r="J598" s="20"/>
      <c r="K598" s="20"/>
      <c r="L598" s="20"/>
      <c r="M598" s="20"/>
      <c r="N598" s="20"/>
      <c r="O598" s="20"/>
      <c r="P598" s="20"/>
      <c r="Q598" s="20"/>
      <c r="R598" s="20"/>
      <c r="S598" s="20"/>
      <c r="T598" s="20"/>
      <c r="U598" s="20"/>
      <c r="V598" s="20"/>
      <c r="W598" s="20"/>
      <c r="X598" s="20"/>
    </row>
    <row r="599" ht="12.0" customHeight="1">
      <c r="A599" s="20"/>
      <c r="B599" s="20"/>
      <c r="C599" s="20"/>
      <c r="D599" s="35"/>
      <c r="E599" s="20"/>
      <c r="F599" s="20"/>
      <c r="G599" s="20"/>
      <c r="H599" s="20"/>
      <c r="I599" s="20"/>
      <c r="J599" s="20"/>
      <c r="K599" s="20"/>
      <c r="L599" s="20"/>
      <c r="M599" s="20"/>
      <c r="N599" s="20"/>
      <c r="O599" s="20"/>
      <c r="P599" s="20"/>
      <c r="Q599" s="20"/>
      <c r="R599" s="20"/>
      <c r="S599" s="20"/>
      <c r="T599" s="20"/>
      <c r="U599" s="20"/>
      <c r="V599" s="20"/>
      <c r="W599" s="20"/>
      <c r="X599" s="20"/>
    </row>
    <row r="600" ht="12.0" customHeight="1">
      <c r="A600" s="20"/>
      <c r="B600" s="20"/>
      <c r="C600" s="20"/>
      <c r="D600" s="35"/>
      <c r="E600" s="20"/>
      <c r="F600" s="20"/>
      <c r="G600" s="20"/>
      <c r="H600" s="20"/>
      <c r="I600" s="20"/>
      <c r="J600" s="20"/>
      <c r="K600" s="20"/>
      <c r="L600" s="20"/>
      <c r="M600" s="20"/>
      <c r="N600" s="20"/>
      <c r="O600" s="20"/>
      <c r="P600" s="20"/>
      <c r="Q600" s="20"/>
      <c r="R600" s="20"/>
      <c r="S600" s="20"/>
      <c r="T600" s="20"/>
      <c r="U600" s="20"/>
      <c r="V600" s="20"/>
      <c r="W600" s="20"/>
      <c r="X600" s="20"/>
    </row>
    <row r="601" ht="12.0" customHeight="1">
      <c r="A601" s="20"/>
      <c r="B601" s="20"/>
      <c r="C601" s="20"/>
      <c r="D601" s="35"/>
      <c r="E601" s="20"/>
      <c r="F601" s="20"/>
      <c r="G601" s="20"/>
      <c r="H601" s="20"/>
      <c r="I601" s="20"/>
      <c r="J601" s="20"/>
      <c r="K601" s="20"/>
      <c r="L601" s="20"/>
      <c r="M601" s="20"/>
      <c r="N601" s="20"/>
      <c r="O601" s="20"/>
      <c r="P601" s="20"/>
      <c r="Q601" s="20"/>
      <c r="R601" s="20"/>
      <c r="S601" s="20"/>
      <c r="T601" s="20"/>
      <c r="U601" s="20"/>
      <c r="V601" s="20"/>
      <c r="W601" s="20"/>
      <c r="X601" s="20"/>
    </row>
    <row r="602" ht="12.0" customHeight="1">
      <c r="A602" s="20"/>
      <c r="B602" s="20"/>
      <c r="C602" s="20"/>
      <c r="D602" s="35"/>
      <c r="E602" s="20"/>
      <c r="F602" s="20"/>
      <c r="G602" s="20"/>
      <c r="H602" s="20"/>
      <c r="I602" s="20"/>
      <c r="J602" s="20"/>
      <c r="K602" s="20"/>
      <c r="L602" s="20"/>
      <c r="M602" s="20"/>
      <c r="N602" s="20"/>
      <c r="O602" s="20"/>
      <c r="P602" s="20"/>
      <c r="Q602" s="20"/>
      <c r="R602" s="20"/>
      <c r="S602" s="20"/>
      <c r="T602" s="20"/>
      <c r="U602" s="20"/>
      <c r="V602" s="20"/>
      <c r="W602" s="20"/>
      <c r="X602" s="20"/>
    </row>
    <row r="603" ht="12.0" customHeight="1">
      <c r="A603" s="20"/>
      <c r="B603" s="20"/>
      <c r="C603" s="20"/>
      <c r="D603" s="35"/>
      <c r="E603" s="20"/>
      <c r="F603" s="20"/>
      <c r="G603" s="20"/>
      <c r="H603" s="20"/>
      <c r="I603" s="20"/>
      <c r="J603" s="20"/>
      <c r="K603" s="20"/>
      <c r="L603" s="20"/>
      <c r="M603" s="20"/>
      <c r="N603" s="20"/>
      <c r="O603" s="20"/>
      <c r="P603" s="20"/>
      <c r="Q603" s="20"/>
      <c r="R603" s="20"/>
      <c r="S603" s="20"/>
      <c r="T603" s="20"/>
      <c r="U603" s="20"/>
      <c r="V603" s="20"/>
      <c r="W603" s="20"/>
      <c r="X603" s="20"/>
    </row>
    <row r="604" ht="12.0" customHeight="1">
      <c r="A604" s="20"/>
      <c r="B604" s="20"/>
      <c r="C604" s="20"/>
      <c r="D604" s="35"/>
      <c r="E604" s="20"/>
      <c r="F604" s="20"/>
      <c r="G604" s="20"/>
      <c r="H604" s="20"/>
      <c r="I604" s="20"/>
      <c r="J604" s="20"/>
      <c r="K604" s="20"/>
      <c r="L604" s="20"/>
      <c r="M604" s="20"/>
      <c r="N604" s="20"/>
      <c r="O604" s="20"/>
      <c r="P604" s="20"/>
      <c r="Q604" s="20"/>
      <c r="R604" s="20"/>
      <c r="S604" s="20"/>
      <c r="T604" s="20"/>
      <c r="U604" s="20"/>
      <c r="V604" s="20"/>
      <c r="W604" s="20"/>
      <c r="X604" s="20"/>
    </row>
    <row r="605" ht="12.0" customHeight="1">
      <c r="A605" s="20"/>
      <c r="B605" s="20"/>
      <c r="C605" s="20"/>
      <c r="D605" s="35"/>
      <c r="E605" s="20"/>
      <c r="F605" s="20"/>
      <c r="G605" s="20"/>
      <c r="H605" s="20"/>
      <c r="I605" s="20"/>
      <c r="J605" s="20"/>
      <c r="K605" s="20"/>
      <c r="L605" s="20"/>
      <c r="M605" s="20"/>
      <c r="N605" s="20"/>
      <c r="O605" s="20"/>
      <c r="P605" s="20"/>
      <c r="Q605" s="20"/>
      <c r="R605" s="20"/>
      <c r="S605" s="20"/>
      <c r="T605" s="20"/>
      <c r="U605" s="20"/>
      <c r="V605" s="20"/>
      <c r="W605" s="20"/>
      <c r="X605" s="20"/>
    </row>
    <row r="606" ht="12.0" customHeight="1">
      <c r="A606" s="20"/>
      <c r="B606" s="20"/>
      <c r="C606" s="20"/>
      <c r="D606" s="35"/>
      <c r="E606" s="20"/>
      <c r="F606" s="20"/>
      <c r="G606" s="20"/>
      <c r="H606" s="20"/>
      <c r="I606" s="20"/>
      <c r="J606" s="20"/>
      <c r="K606" s="20"/>
      <c r="L606" s="20"/>
      <c r="M606" s="20"/>
      <c r="N606" s="20"/>
      <c r="O606" s="20"/>
      <c r="P606" s="20"/>
      <c r="Q606" s="20"/>
      <c r="R606" s="20"/>
      <c r="S606" s="20"/>
      <c r="T606" s="20"/>
      <c r="U606" s="20"/>
      <c r="V606" s="20"/>
      <c r="W606" s="20"/>
      <c r="X606" s="20"/>
    </row>
    <row r="607" ht="12.0" customHeight="1">
      <c r="A607" s="20"/>
      <c r="B607" s="20"/>
      <c r="C607" s="20"/>
      <c r="D607" s="35"/>
      <c r="E607" s="20"/>
      <c r="F607" s="20"/>
      <c r="G607" s="20"/>
      <c r="H607" s="20"/>
      <c r="I607" s="20"/>
      <c r="J607" s="20"/>
      <c r="K607" s="20"/>
      <c r="L607" s="20"/>
      <c r="M607" s="20"/>
      <c r="N607" s="20"/>
      <c r="O607" s="20"/>
      <c r="P607" s="20"/>
      <c r="Q607" s="20"/>
      <c r="R607" s="20"/>
      <c r="S607" s="20"/>
      <c r="T607" s="20"/>
      <c r="U607" s="20"/>
      <c r="V607" s="20"/>
      <c r="W607" s="20"/>
      <c r="X607" s="20"/>
    </row>
    <row r="608" ht="12.0" customHeight="1">
      <c r="A608" s="20"/>
      <c r="B608" s="20"/>
      <c r="C608" s="20"/>
      <c r="D608" s="35"/>
      <c r="E608" s="20"/>
      <c r="F608" s="20"/>
      <c r="G608" s="20"/>
      <c r="H608" s="20"/>
      <c r="I608" s="20"/>
      <c r="J608" s="20"/>
      <c r="K608" s="20"/>
      <c r="L608" s="20"/>
      <c r="M608" s="20"/>
      <c r="N608" s="20"/>
      <c r="O608" s="20"/>
      <c r="P608" s="20"/>
      <c r="Q608" s="20"/>
      <c r="R608" s="20"/>
      <c r="S608" s="20"/>
      <c r="T608" s="20"/>
      <c r="U608" s="20"/>
      <c r="V608" s="20"/>
      <c r="W608" s="20"/>
      <c r="X608" s="20"/>
    </row>
    <row r="609" ht="12.0" customHeight="1">
      <c r="A609" s="20"/>
      <c r="B609" s="20"/>
      <c r="C609" s="20"/>
      <c r="D609" s="35"/>
      <c r="E609" s="20"/>
      <c r="F609" s="20"/>
      <c r="G609" s="20"/>
      <c r="H609" s="20"/>
      <c r="I609" s="20"/>
      <c r="J609" s="20"/>
      <c r="K609" s="20"/>
      <c r="L609" s="20"/>
      <c r="M609" s="20"/>
      <c r="N609" s="20"/>
      <c r="O609" s="20"/>
      <c r="P609" s="20"/>
      <c r="Q609" s="20"/>
      <c r="R609" s="20"/>
      <c r="S609" s="20"/>
      <c r="T609" s="20"/>
      <c r="U609" s="20"/>
      <c r="V609" s="20"/>
      <c r="W609" s="20"/>
      <c r="X609" s="20"/>
    </row>
    <row r="610" ht="12.0" customHeight="1">
      <c r="A610" s="20"/>
      <c r="B610" s="20"/>
      <c r="C610" s="20"/>
      <c r="D610" s="35"/>
      <c r="E610" s="20"/>
      <c r="F610" s="20"/>
      <c r="G610" s="20"/>
      <c r="H610" s="20"/>
      <c r="I610" s="20"/>
      <c r="J610" s="20"/>
      <c r="K610" s="20"/>
      <c r="L610" s="20"/>
      <c r="M610" s="20"/>
      <c r="N610" s="20"/>
      <c r="O610" s="20"/>
      <c r="P610" s="20"/>
      <c r="Q610" s="20"/>
      <c r="R610" s="20"/>
      <c r="S610" s="20"/>
      <c r="T610" s="20"/>
      <c r="U610" s="20"/>
      <c r="V610" s="20"/>
      <c r="W610" s="20"/>
      <c r="X610" s="20"/>
    </row>
    <row r="611" ht="12.0" customHeight="1">
      <c r="A611" s="20"/>
      <c r="B611" s="20"/>
      <c r="C611" s="20"/>
      <c r="D611" s="35"/>
      <c r="E611" s="20"/>
      <c r="F611" s="20"/>
      <c r="G611" s="20"/>
      <c r="H611" s="20"/>
      <c r="I611" s="20"/>
      <c r="J611" s="20"/>
      <c r="K611" s="20"/>
      <c r="L611" s="20"/>
      <c r="M611" s="20"/>
      <c r="N611" s="20"/>
      <c r="O611" s="20"/>
      <c r="P611" s="20"/>
      <c r="Q611" s="20"/>
      <c r="R611" s="20"/>
      <c r="S611" s="20"/>
      <c r="T611" s="20"/>
      <c r="U611" s="20"/>
      <c r="V611" s="20"/>
      <c r="W611" s="20"/>
      <c r="X611" s="20"/>
    </row>
    <row r="612" ht="12.0" customHeight="1">
      <c r="A612" s="20"/>
      <c r="B612" s="20"/>
      <c r="C612" s="20"/>
      <c r="D612" s="35"/>
      <c r="E612" s="20"/>
      <c r="F612" s="20"/>
      <c r="G612" s="20"/>
      <c r="H612" s="20"/>
      <c r="I612" s="20"/>
      <c r="J612" s="20"/>
      <c r="K612" s="20"/>
      <c r="L612" s="20"/>
      <c r="M612" s="20"/>
      <c r="N612" s="20"/>
      <c r="O612" s="20"/>
      <c r="P612" s="20"/>
      <c r="Q612" s="20"/>
      <c r="R612" s="20"/>
      <c r="S612" s="20"/>
      <c r="T612" s="20"/>
      <c r="U612" s="20"/>
      <c r="V612" s="20"/>
      <c r="W612" s="20"/>
      <c r="X612" s="20"/>
    </row>
    <row r="613" ht="12.0" customHeight="1">
      <c r="A613" s="20"/>
      <c r="B613" s="20"/>
      <c r="C613" s="20"/>
      <c r="D613" s="35"/>
      <c r="E613" s="20"/>
      <c r="F613" s="20"/>
      <c r="G613" s="20"/>
      <c r="H613" s="20"/>
      <c r="I613" s="20"/>
      <c r="J613" s="20"/>
      <c r="K613" s="20"/>
      <c r="L613" s="20"/>
      <c r="M613" s="20"/>
      <c r="N613" s="20"/>
      <c r="O613" s="20"/>
      <c r="P613" s="20"/>
      <c r="Q613" s="20"/>
      <c r="R613" s="20"/>
      <c r="S613" s="20"/>
      <c r="T613" s="20"/>
      <c r="U613" s="20"/>
      <c r="V613" s="20"/>
      <c r="W613" s="20"/>
      <c r="X613" s="20"/>
    </row>
    <row r="614" ht="12.0" customHeight="1">
      <c r="A614" s="20"/>
      <c r="B614" s="20"/>
      <c r="C614" s="20"/>
      <c r="D614" s="35"/>
      <c r="E614" s="20"/>
      <c r="F614" s="20"/>
      <c r="G614" s="20"/>
      <c r="H614" s="20"/>
      <c r="I614" s="20"/>
      <c r="J614" s="20"/>
      <c r="K614" s="20"/>
      <c r="L614" s="20"/>
      <c r="M614" s="20"/>
      <c r="N614" s="20"/>
      <c r="O614" s="20"/>
      <c r="P614" s="20"/>
      <c r="Q614" s="20"/>
      <c r="R614" s="20"/>
      <c r="S614" s="20"/>
      <c r="T614" s="20"/>
      <c r="U614" s="20"/>
      <c r="V614" s="20"/>
      <c r="W614" s="20"/>
      <c r="X614" s="20"/>
    </row>
    <row r="615" ht="12.0" customHeight="1">
      <c r="A615" s="20"/>
      <c r="B615" s="20"/>
      <c r="C615" s="20"/>
      <c r="D615" s="35"/>
      <c r="E615" s="20"/>
      <c r="F615" s="20"/>
      <c r="G615" s="20"/>
      <c r="H615" s="20"/>
      <c r="I615" s="20"/>
      <c r="J615" s="20"/>
      <c r="K615" s="20"/>
      <c r="L615" s="20"/>
      <c r="M615" s="20"/>
      <c r="N615" s="20"/>
      <c r="O615" s="20"/>
      <c r="P615" s="20"/>
      <c r="Q615" s="20"/>
      <c r="R615" s="20"/>
      <c r="S615" s="20"/>
      <c r="T615" s="20"/>
      <c r="U615" s="20"/>
      <c r="V615" s="20"/>
      <c r="W615" s="20"/>
      <c r="X615" s="20"/>
    </row>
    <row r="616" ht="12.0" customHeight="1">
      <c r="A616" s="20"/>
      <c r="B616" s="20"/>
      <c r="C616" s="20"/>
      <c r="D616" s="35"/>
      <c r="E616" s="20"/>
      <c r="F616" s="20"/>
      <c r="G616" s="20"/>
      <c r="H616" s="20"/>
      <c r="I616" s="20"/>
      <c r="J616" s="20"/>
      <c r="K616" s="20"/>
      <c r="L616" s="20"/>
      <c r="M616" s="20"/>
      <c r="N616" s="20"/>
      <c r="O616" s="20"/>
      <c r="P616" s="20"/>
      <c r="Q616" s="20"/>
      <c r="R616" s="20"/>
      <c r="S616" s="20"/>
      <c r="T616" s="20"/>
      <c r="U616" s="20"/>
      <c r="V616" s="20"/>
      <c r="W616" s="20"/>
      <c r="X616" s="20"/>
    </row>
    <row r="617" ht="12.0" customHeight="1">
      <c r="A617" s="20"/>
      <c r="B617" s="20"/>
      <c r="C617" s="20"/>
      <c r="D617" s="35"/>
      <c r="E617" s="20"/>
      <c r="F617" s="20"/>
      <c r="G617" s="20"/>
      <c r="H617" s="20"/>
      <c r="I617" s="20"/>
      <c r="J617" s="20"/>
      <c r="K617" s="20"/>
      <c r="L617" s="20"/>
      <c r="M617" s="20"/>
      <c r="N617" s="20"/>
      <c r="O617" s="20"/>
      <c r="P617" s="20"/>
      <c r="Q617" s="20"/>
      <c r="R617" s="20"/>
      <c r="S617" s="20"/>
      <c r="T617" s="20"/>
      <c r="U617" s="20"/>
      <c r="V617" s="20"/>
      <c r="W617" s="20"/>
      <c r="X617" s="20"/>
    </row>
    <row r="618" ht="12.0" customHeight="1">
      <c r="A618" s="20"/>
      <c r="B618" s="20"/>
      <c r="C618" s="20"/>
      <c r="D618" s="35"/>
      <c r="E618" s="20"/>
      <c r="F618" s="20"/>
      <c r="G618" s="20"/>
      <c r="H618" s="20"/>
      <c r="I618" s="20"/>
      <c r="J618" s="20"/>
      <c r="K618" s="20"/>
      <c r="L618" s="20"/>
      <c r="M618" s="20"/>
      <c r="N618" s="20"/>
      <c r="O618" s="20"/>
      <c r="P618" s="20"/>
      <c r="Q618" s="20"/>
      <c r="R618" s="20"/>
      <c r="S618" s="20"/>
      <c r="T618" s="20"/>
      <c r="U618" s="20"/>
      <c r="V618" s="20"/>
      <c r="W618" s="20"/>
      <c r="X618" s="20"/>
    </row>
    <row r="619" ht="12.0" customHeight="1">
      <c r="A619" s="20"/>
      <c r="B619" s="20"/>
      <c r="C619" s="20"/>
      <c r="D619" s="35"/>
      <c r="E619" s="20"/>
      <c r="F619" s="20"/>
      <c r="G619" s="20"/>
      <c r="H619" s="20"/>
      <c r="I619" s="20"/>
      <c r="J619" s="20"/>
      <c r="K619" s="20"/>
      <c r="L619" s="20"/>
      <c r="M619" s="20"/>
      <c r="N619" s="20"/>
      <c r="O619" s="20"/>
      <c r="P619" s="20"/>
      <c r="Q619" s="20"/>
      <c r="R619" s="20"/>
      <c r="S619" s="20"/>
      <c r="T619" s="20"/>
      <c r="U619" s="20"/>
      <c r="V619" s="20"/>
      <c r="W619" s="20"/>
      <c r="X619" s="20"/>
    </row>
    <row r="620" ht="12.0" customHeight="1">
      <c r="A620" s="20"/>
      <c r="B620" s="20"/>
      <c r="C620" s="20"/>
      <c r="D620" s="35"/>
      <c r="E620" s="20"/>
      <c r="F620" s="20"/>
      <c r="G620" s="20"/>
      <c r="H620" s="20"/>
      <c r="I620" s="20"/>
      <c r="J620" s="20"/>
      <c r="K620" s="20"/>
      <c r="L620" s="20"/>
      <c r="M620" s="20"/>
      <c r="N620" s="20"/>
      <c r="O620" s="20"/>
      <c r="P620" s="20"/>
      <c r="Q620" s="20"/>
      <c r="R620" s="20"/>
      <c r="S620" s="20"/>
      <c r="T620" s="20"/>
      <c r="U620" s="20"/>
      <c r="V620" s="20"/>
      <c r="W620" s="20"/>
      <c r="X620" s="20"/>
    </row>
    <row r="621" ht="12.0" customHeight="1">
      <c r="A621" s="20"/>
      <c r="B621" s="20"/>
      <c r="C621" s="20"/>
      <c r="D621" s="35"/>
      <c r="E621" s="20"/>
      <c r="F621" s="20"/>
      <c r="G621" s="20"/>
      <c r="H621" s="20"/>
      <c r="I621" s="20"/>
      <c r="J621" s="20"/>
      <c r="K621" s="20"/>
      <c r="L621" s="20"/>
      <c r="M621" s="20"/>
      <c r="N621" s="20"/>
      <c r="O621" s="20"/>
      <c r="P621" s="20"/>
      <c r="Q621" s="20"/>
      <c r="R621" s="20"/>
      <c r="S621" s="20"/>
      <c r="T621" s="20"/>
      <c r="U621" s="20"/>
      <c r="V621" s="20"/>
      <c r="W621" s="20"/>
      <c r="X621" s="20"/>
    </row>
    <row r="622" ht="12.0" customHeight="1">
      <c r="A622" s="20"/>
      <c r="B622" s="20"/>
      <c r="C622" s="20"/>
      <c r="D622" s="35"/>
      <c r="E622" s="20"/>
      <c r="F622" s="20"/>
      <c r="G622" s="20"/>
      <c r="H622" s="20"/>
      <c r="I622" s="20"/>
      <c r="J622" s="20"/>
      <c r="K622" s="20"/>
      <c r="L622" s="20"/>
      <c r="M622" s="20"/>
      <c r="N622" s="20"/>
      <c r="O622" s="20"/>
      <c r="P622" s="20"/>
      <c r="Q622" s="20"/>
      <c r="R622" s="20"/>
      <c r="S622" s="20"/>
      <c r="T622" s="20"/>
      <c r="U622" s="20"/>
      <c r="V622" s="20"/>
      <c r="W622" s="20"/>
      <c r="X622" s="20"/>
    </row>
    <row r="623" ht="12.0" customHeight="1">
      <c r="A623" s="20"/>
      <c r="B623" s="20"/>
      <c r="C623" s="20"/>
      <c r="D623" s="35"/>
      <c r="E623" s="20"/>
      <c r="F623" s="20"/>
      <c r="G623" s="20"/>
      <c r="H623" s="20"/>
      <c r="I623" s="20"/>
      <c r="J623" s="20"/>
      <c r="K623" s="20"/>
      <c r="L623" s="20"/>
      <c r="M623" s="20"/>
      <c r="N623" s="20"/>
      <c r="O623" s="20"/>
      <c r="P623" s="20"/>
      <c r="Q623" s="20"/>
      <c r="R623" s="20"/>
      <c r="S623" s="20"/>
      <c r="T623" s="20"/>
      <c r="U623" s="20"/>
      <c r="V623" s="20"/>
      <c r="W623" s="20"/>
      <c r="X623" s="20"/>
    </row>
    <row r="624" ht="12.0" customHeight="1">
      <c r="A624" s="20"/>
      <c r="B624" s="20"/>
      <c r="C624" s="20"/>
      <c r="D624" s="35"/>
      <c r="E624" s="20"/>
      <c r="F624" s="20"/>
      <c r="G624" s="20"/>
      <c r="H624" s="20"/>
      <c r="I624" s="20"/>
      <c r="J624" s="20"/>
      <c r="K624" s="20"/>
      <c r="L624" s="20"/>
      <c r="M624" s="20"/>
      <c r="N624" s="20"/>
      <c r="O624" s="20"/>
      <c r="P624" s="20"/>
      <c r="Q624" s="20"/>
      <c r="R624" s="20"/>
      <c r="S624" s="20"/>
      <c r="T624" s="20"/>
      <c r="U624" s="20"/>
      <c r="V624" s="20"/>
      <c r="W624" s="20"/>
      <c r="X624" s="20"/>
    </row>
    <row r="625" ht="12.0" customHeight="1">
      <c r="A625" s="20"/>
      <c r="B625" s="20"/>
      <c r="C625" s="20"/>
      <c r="D625" s="35"/>
      <c r="E625" s="20"/>
      <c r="F625" s="20"/>
      <c r="G625" s="20"/>
      <c r="H625" s="20"/>
      <c r="I625" s="20"/>
      <c r="J625" s="20"/>
      <c r="K625" s="20"/>
      <c r="L625" s="20"/>
      <c r="M625" s="20"/>
      <c r="N625" s="20"/>
      <c r="O625" s="20"/>
      <c r="P625" s="20"/>
      <c r="Q625" s="20"/>
      <c r="R625" s="20"/>
      <c r="S625" s="20"/>
      <c r="T625" s="20"/>
      <c r="U625" s="20"/>
      <c r="V625" s="20"/>
      <c r="W625" s="20"/>
      <c r="X625" s="20"/>
    </row>
    <row r="626" ht="12.0" customHeight="1">
      <c r="A626" s="20"/>
      <c r="B626" s="20"/>
      <c r="C626" s="20"/>
      <c r="D626" s="35"/>
      <c r="E626" s="20"/>
      <c r="F626" s="20"/>
      <c r="G626" s="20"/>
      <c r="H626" s="20"/>
      <c r="I626" s="20"/>
      <c r="J626" s="20"/>
      <c r="K626" s="20"/>
      <c r="L626" s="20"/>
      <c r="M626" s="20"/>
      <c r="N626" s="20"/>
      <c r="O626" s="20"/>
      <c r="P626" s="20"/>
      <c r="Q626" s="20"/>
      <c r="R626" s="20"/>
      <c r="S626" s="20"/>
      <c r="T626" s="20"/>
      <c r="U626" s="20"/>
      <c r="V626" s="20"/>
      <c r="W626" s="20"/>
      <c r="X626" s="20"/>
    </row>
    <row r="627" ht="12.0" customHeight="1">
      <c r="A627" s="20"/>
      <c r="B627" s="20"/>
      <c r="C627" s="20"/>
      <c r="D627" s="35"/>
      <c r="E627" s="20"/>
      <c r="F627" s="20"/>
      <c r="G627" s="20"/>
      <c r="H627" s="20"/>
      <c r="I627" s="20"/>
      <c r="J627" s="20"/>
      <c r="K627" s="20"/>
      <c r="L627" s="20"/>
      <c r="M627" s="20"/>
      <c r="N627" s="20"/>
      <c r="O627" s="20"/>
      <c r="P627" s="20"/>
      <c r="Q627" s="20"/>
      <c r="R627" s="20"/>
      <c r="S627" s="20"/>
      <c r="T627" s="20"/>
      <c r="U627" s="20"/>
      <c r="V627" s="20"/>
      <c r="W627" s="20"/>
      <c r="X627" s="20"/>
    </row>
    <row r="628" ht="12.0" customHeight="1">
      <c r="A628" s="20"/>
      <c r="B628" s="20"/>
      <c r="C628" s="20"/>
      <c r="D628" s="35"/>
      <c r="E628" s="20"/>
      <c r="F628" s="20"/>
      <c r="G628" s="20"/>
      <c r="H628" s="20"/>
      <c r="I628" s="20"/>
      <c r="J628" s="20"/>
      <c r="K628" s="20"/>
      <c r="L628" s="20"/>
      <c r="M628" s="20"/>
      <c r="N628" s="20"/>
      <c r="O628" s="20"/>
      <c r="P628" s="20"/>
      <c r="Q628" s="20"/>
      <c r="R628" s="20"/>
      <c r="S628" s="20"/>
      <c r="T628" s="20"/>
      <c r="U628" s="20"/>
      <c r="V628" s="20"/>
      <c r="W628" s="20"/>
      <c r="X628" s="20"/>
    </row>
    <row r="629" ht="12.0" customHeight="1">
      <c r="A629" s="20"/>
      <c r="B629" s="20"/>
      <c r="C629" s="20"/>
      <c r="D629" s="35"/>
      <c r="E629" s="20"/>
      <c r="F629" s="20"/>
      <c r="G629" s="20"/>
      <c r="H629" s="20"/>
      <c r="I629" s="20"/>
      <c r="J629" s="20"/>
      <c r="K629" s="20"/>
      <c r="L629" s="20"/>
      <c r="M629" s="20"/>
      <c r="N629" s="20"/>
      <c r="O629" s="20"/>
      <c r="P629" s="20"/>
      <c r="Q629" s="20"/>
      <c r="R629" s="20"/>
      <c r="S629" s="20"/>
      <c r="T629" s="20"/>
      <c r="U629" s="20"/>
      <c r="V629" s="20"/>
      <c r="W629" s="20"/>
      <c r="X629" s="20"/>
    </row>
    <row r="630" ht="12.0" customHeight="1">
      <c r="A630" s="20"/>
      <c r="B630" s="20"/>
      <c r="C630" s="20"/>
      <c r="D630" s="35"/>
      <c r="E630" s="20"/>
      <c r="F630" s="20"/>
      <c r="G630" s="20"/>
      <c r="H630" s="20"/>
      <c r="I630" s="20"/>
      <c r="J630" s="20"/>
      <c r="K630" s="20"/>
      <c r="L630" s="20"/>
      <c r="M630" s="20"/>
      <c r="N630" s="20"/>
      <c r="O630" s="20"/>
      <c r="P630" s="20"/>
      <c r="Q630" s="20"/>
      <c r="R630" s="20"/>
      <c r="S630" s="20"/>
      <c r="T630" s="20"/>
      <c r="U630" s="20"/>
      <c r="V630" s="20"/>
      <c r="W630" s="20"/>
      <c r="X630" s="20"/>
    </row>
    <row r="631" ht="12.0" customHeight="1">
      <c r="A631" s="20"/>
      <c r="B631" s="20"/>
      <c r="C631" s="20"/>
      <c r="D631" s="35"/>
      <c r="E631" s="20"/>
      <c r="F631" s="20"/>
      <c r="G631" s="20"/>
      <c r="H631" s="20"/>
      <c r="I631" s="20"/>
      <c r="J631" s="20"/>
      <c r="K631" s="20"/>
      <c r="L631" s="20"/>
      <c r="M631" s="20"/>
      <c r="N631" s="20"/>
      <c r="O631" s="20"/>
      <c r="P631" s="20"/>
      <c r="Q631" s="20"/>
      <c r="R631" s="20"/>
      <c r="S631" s="20"/>
      <c r="T631" s="20"/>
      <c r="U631" s="20"/>
      <c r="V631" s="20"/>
      <c r="W631" s="20"/>
      <c r="X631" s="20"/>
    </row>
    <row r="632" ht="12.0" customHeight="1">
      <c r="A632" s="20"/>
      <c r="B632" s="20"/>
      <c r="C632" s="20"/>
      <c r="D632" s="35"/>
      <c r="E632" s="20"/>
      <c r="F632" s="20"/>
      <c r="G632" s="20"/>
      <c r="H632" s="20"/>
      <c r="I632" s="20"/>
      <c r="J632" s="20"/>
      <c r="K632" s="20"/>
      <c r="L632" s="20"/>
      <c r="M632" s="20"/>
      <c r="N632" s="20"/>
      <c r="O632" s="20"/>
      <c r="P632" s="20"/>
      <c r="Q632" s="20"/>
      <c r="R632" s="20"/>
      <c r="S632" s="20"/>
      <c r="T632" s="20"/>
      <c r="U632" s="20"/>
      <c r="V632" s="20"/>
      <c r="W632" s="20"/>
      <c r="X632" s="20"/>
    </row>
    <row r="633" ht="12.0" customHeight="1">
      <c r="A633" s="20"/>
      <c r="B633" s="20"/>
      <c r="C633" s="20"/>
      <c r="D633" s="35"/>
      <c r="E633" s="20"/>
      <c r="F633" s="20"/>
      <c r="G633" s="20"/>
      <c r="H633" s="20"/>
      <c r="I633" s="20"/>
      <c r="J633" s="20"/>
      <c r="K633" s="20"/>
      <c r="L633" s="20"/>
      <c r="M633" s="20"/>
      <c r="N633" s="20"/>
      <c r="O633" s="20"/>
      <c r="P633" s="20"/>
      <c r="Q633" s="20"/>
      <c r="R633" s="20"/>
      <c r="S633" s="20"/>
      <c r="T633" s="20"/>
      <c r="U633" s="20"/>
      <c r="V633" s="20"/>
      <c r="W633" s="20"/>
      <c r="X633" s="20"/>
    </row>
    <row r="634" ht="12.0" customHeight="1">
      <c r="A634" s="20"/>
      <c r="B634" s="20"/>
      <c r="C634" s="20"/>
      <c r="D634" s="35"/>
      <c r="E634" s="20"/>
      <c r="F634" s="20"/>
      <c r="G634" s="20"/>
      <c r="H634" s="20"/>
      <c r="I634" s="20"/>
      <c r="J634" s="20"/>
      <c r="K634" s="20"/>
      <c r="L634" s="20"/>
      <c r="M634" s="20"/>
      <c r="N634" s="20"/>
      <c r="O634" s="20"/>
      <c r="P634" s="20"/>
      <c r="Q634" s="20"/>
      <c r="R634" s="20"/>
      <c r="S634" s="20"/>
      <c r="T634" s="20"/>
      <c r="U634" s="20"/>
      <c r="V634" s="20"/>
      <c r="W634" s="20"/>
      <c r="X634" s="20"/>
    </row>
    <row r="635" ht="12.0" customHeight="1">
      <c r="A635" s="20"/>
      <c r="B635" s="20"/>
      <c r="C635" s="20"/>
      <c r="D635" s="35"/>
      <c r="E635" s="20"/>
      <c r="F635" s="20"/>
      <c r="G635" s="20"/>
      <c r="H635" s="20"/>
      <c r="I635" s="20"/>
      <c r="J635" s="20"/>
      <c r="K635" s="20"/>
      <c r="L635" s="20"/>
      <c r="M635" s="20"/>
      <c r="N635" s="20"/>
      <c r="O635" s="20"/>
      <c r="P635" s="20"/>
      <c r="Q635" s="20"/>
      <c r="R635" s="20"/>
      <c r="S635" s="20"/>
      <c r="T635" s="20"/>
      <c r="U635" s="20"/>
      <c r="V635" s="20"/>
      <c r="W635" s="20"/>
      <c r="X635" s="20"/>
    </row>
    <row r="636" ht="12.0" customHeight="1">
      <c r="A636" s="20"/>
      <c r="B636" s="20"/>
      <c r="C636" s="20"/>
      <c r="D636" s="35"/>
      <c r="E636" s="20"/>
      <c r="F636" s="20"/>
      <c r="G636" s="20"/>
      <c r="H636" s="20"/>
      <c r="I636" s="20"/>
      <c r="J636" s="20"/>
      <c r="K636" s="20"/>
      <c r="L636" s="20"/>
      <c r="M636" s="20"/>
      <c r="N636" s="20"/>
      <c r="O636" s="20"/>
      <c r="P636" s="20"/>
      <c r="Q636" s="20"/>
      <c r="R636" s="20"/>
      <c r="S636" s="20"/>
      <c r="T636" s="20"/>
      <c r="U636" s="20"/>
      <c r="V636" s="20"/>
      <c r="W636" s="20"/>
      <c r="X636" s="20"/>
    </row>
    <row r="637" ht="12.0" customHeight="1">
      <c r="A637" s="20"/>
      <c r="B637" s="20"/>
      <c r="C637" s="20"/>
      <c r="D637" s="35"/>
      <c r="E637" s="20"/>
      <c r="F637" s="20"/>
      <c r="G637" s="20"/>
      <c r="H637" s="20"/>
      <c r="I637" s="20"/>
      <c r="J637" s="20"/>
      <c r="K637" s="20"/>
      <c r="L637" s="20"/>
      <c r="M637" s="20"/>
      <c r="N637" s="20"/>
      <c r="O637" s="20"/>
      <c r="P637" s="20"/>
      <c r="Q637" s="20"/>
      <c r="R637" s="20"/>
      <c r="S637" s="20"/>
      <c r="T637" s="20"/>
      <c r="U637" s="20"/>
      <c r="V637" s="20"/>
      <c r="W637" s="20"/>
      <c r="X637" s="20"/>
    </row>
    <row r="638" ht="12.0" customHeight="1">
      <c r="A638" s="20"/>
      <c r="B638" s="20"/>
      <c r="C638" s="20"/>
      <c r="D638" s="35"/>
      <c r="E638" s="20"/>
      <c r="F638" s="20"/>
      <c r="G638" s="20"/>
      <c r="H638" s="20"/>
      <c r="I638" s="20"/>
      <c r="J638" s="20"/>
      <c r="K638" s="20"/>
      <c r="L638" s="20"/>
      <c r="M638" s="20"/>
      <c r="N638" s="20"/>
      <c r="O638" s="20"/>
      <c r="P638" s="20"/>
      <c r="Q638" s="20"/>
      <c r="R638" s="20"/>
      <c r="S638" s="20"/>
      <c r="T638" s="20"/>
      <c r="U638" s="20"/>
      <c r="V638" s="20"/>
      <c r="W638" s="20"/>
      <c r="X638" s="20"/>
    </row>
    <row r="639" ht="12.0" customHeight="1">
      <c r="A639" s="20"/>
      <c r="B639" s="20"/>
      <c r="C639" s="20"/>
      <c r="D639" s="35"/>
      <c r="E639" s="20"/>
      <c r="F639" s="20"/>
      <c r="G639" s="20"/>
      <c r="H639" s="20"/>
      <c r="I639" s="20"/>
      <c r="J639" s="20"/>
      <c r="K639" s="20"/>
      <c r="L639" s="20"/>
      <c r="M639" s="20"/>
      <c r="N639" s="20"/>
      <c r="O639" s="20"/>
      <c r="P639" s="20"/>
      <c r="Q639" s="20"/>
      <c r="R639" s="20"/>
      <c r="S639" s="20"/>
      <c r="T639" s="20"/>
      <c r="U639" s="20"/>
      <c r="V639" s="20"/>
      <c r="W639" s="20"/>
      <c r="X639" s="20"/>
    </row>
    <row r="640" ht="12.0" customHeight="1">
      <c r="A640" s="20"/>
      <c r="B640" s="20"/>
      <c r="C640" s="20"/>
      <c r="D640" s="35"/>
      <c r="E640" s="20"/>
      <c r="F640" s="20"/>
      <c r="G640" s="20"/>
      <c r="H640" s="20"/>
      <c r="I640" s="20"/>
      <c r="J640" s="20"/>
      <c r="K640" s="20"/>
      <c r="L640" s="20"/>
      <c r="M640" s="20"/>
      <c r="N640" s="20"/>
      <c r="O640" s="20"/>
      <c r="P640" s="20"/>
      <c r="Q640" s="20"/>
      <c r="R640" s="20"/>
      <c r="S640" s="20"/>
      <c r="T640" s="20"/>
      <c r="U640" s="20"/>
      <c r="V640" s="20"/>
      <c r="W640" s="20"/>
      <c r="X640" s="20"/>
    </row>
    <row r="641" ht="12.0" customHeight="1">
      <c r="A641" s="20"/>
      <c r="B641" s="20"/>
      <c r="C641" s="20"/>
      <c r="D641" s="35"/>
      <c r="E641" s="20"/>
      <c r="F641" s="20"/>
      <c r="G641" s="20"/>
      <c r="H641" s="20"/>
      <c r="I641" s="20"/>
      <c r="J641" s="20"/>
      <c r="K641" s="20"/>
      <c r="L641" s="20"/>
      <c r="M641" s="20"/>
      <c r="N641" s="20"/>
      <c r="O641" s="20"/>
      <c r="P641" s="20"/>
      <c r="Q641" s="20"/>
      <c r="R641" s="20"/>
      <c r="S641" s="20"/>
      <c r="T641" s="20"/>
      <c r="U641" s="20"/>
      <c r="V641" s="20"/>
      <c r="W641" s="20"/>
      <c r="X641" s="20"/>
    </row>
    <row r="642" ht="12.0" customHeight="1">
      <c r="A642" s="20"/>
      <c r="B642" s="20"/>
      <c r="C642" s="20"/>
      <c r="D642" s="35"/>
      <c r="E642" s="20"/>
      <c r="F642" s="20"/>
      <c r="G642" s="20"/>
      <c r="H642" s="20"/>
      <c r="I642" s="20"/>
      <c r="J642" s="20"/>
      <c r="K642" s="20"/>
      <c r="L642" s="20"/>
      <c r="M642" s="20"/>
      <c r="N642" s="20"/>
      <c r="O642" s="20"/>
      <c r="P642" s="20"/>
      <c r="Q642" s="20"/>
      <c r="R642" s="20"/>
      <c r="S642" s="20"/>
      <c r="T642" s="20"/>
      <c r="U642" s="20"/>
      <c r="V642" s="20"/>
      <c r="W642" s="20"/>
      <c r="X642" s="20"/>
    </row>
    <row r="643" ht="12.0" customHeight="1">
      <c r="A643" s="20"/>
      <c r="B643" s="20"/>
      <c r="C643" s="20"/>
      <c r="D643" s="35"/>
      <c r="E643" s="20"/>
      <c r="F643" s="20"/>
      <c r="G643" s="20"/>
      <c r="H643" s="20"/>
      <c r="I643" s="20"/>
      <c r="J643" s="20"/>
      <c r="K643" s="20"/>
      <c r="L643" s="20"/>
      <c r="M643" s="20"/>
      <c r="N643" s="20"/>
      <c r="O643" s="20"/>
      <c r="P643" s="20"/>
      <c r="Q643" s="20"/>
      <c r="R643" s="20"/>
      <c r="S643" s="20"/>
      <c r="T643" s="20"/>
      <c r="U643" s="20"/>
      <c r="V643" s="20"/>
      <c r="W643" s="20"/>
      <c r="X643" s="20"/>
    </row>
    <row r="644" ht="12.0" customHeight="1">
      <c r="A644" s="20"/>
      <c r="B644" s="20"/>
      <c r="C644" s="20"/>
      <c r="D644" s="35"/>
      <c r="E644" s="20"/>
      <c r="F644" s="20"/>
      <c r="G644" s="20"/>
      <c r="H644" s="20"/>
      <c r="I644" s="20"/>
      <c r="J644" s="20"/>
      <c r="K644" s="20"/>
      <c r="L644" s="20"/>
      <c r="M644" s="20"/>
      <c r="N644" s="20"/>
      <c r="O644" s="20"/>
      <c r="P644" s="20"/>
      <c r="Q644" s="20"/>
      <c r="R644" s="20"/>
      <c r="S644" s="20"/>
      <c r="T644" s="20"/>
      <c r="U644" s="20"/>
      <c r="V644" s="20"/>
      <c r="W644" s="20"/>
      <c r="X644" s="20"/>
    </row>
    <row r="645" ht="12.0" customHeight="1">
      <c r="A645" s="20"/>
      <c r="B645" s="20"/>
      <c r="C645" s="20"/>
      <c r="D645" s="35"/>
      <c r="E645" s="20"/>
      <c r="F645" s="20"/>
      <c r="G645" s="20"/>
      <c r="H645" s="20"/>
      <c r="I645" s="20"/>
      <c r="J645" s="20"/>
      <c r="K645" s="20"/>
      <c r="L645" s="20"/>
      <c r="M645" s="20"/>
      <c r="N645" s="20"/>
      <c r="O645" s="20"/>
      <c r="P645" s="20"/>
      <c r="Q645" s="20"/>
      <c r="R645" s="20"/>
      <c r="S645" s="20"/>
      <c r="T645" s="20"/>
      <c r="U645" s="20"/>
      <c r="V645" s="20"/>
      <c r="W645" s="20"/>
      <c r="X645" s="20"/>
    </row>
    <row r="646" ht="12.0" customHeight="1">
      <c r="A646" s="20"/>
      <c r="B646" s="20"/>
      <c r="C646" s="20"/>
      <c r="D646" s="35"/>
      <c r="E646" s="20"/>
      <c r="F646" s="20"/>
      <c r="G646" s="20"/>
      <c r="H646" s="20"/>
      <c r="I646" s="20"/>
      <c r="J646" s="20"/>
      <c r="K646" s="20"/>
      <c r="L646" s="20"/>
      <c r="M646" s="20"/>
      <c r="N646" s="20"/>
      <c r="O646" s="20"/>
      <c r="P646" s="20"/>
      <c r="Q646" s="20"/>
      <c r="R646" s="20"/>
      <c r="S646" s="20"/>
      <c r="T646" s="20"/>
      <c r="U646" s="20"/>
      <c r="V646" s="20"/>
      <c r="W646" s="20"/>
      <c r="X646" s="20"/>
    </row>
    <row r="647" ht="12.0" customHeight="1">
      <c r="A647" s="20"/>
      <c r="B647" s="20"/>
      <c r="C647" s="20"/>
      <c r="D647" s="35"/>
      <c r="E647" s="20"/>
      <c r="F647" s="20"/>
      <c r="G647" s="20"/>
      <c r="H647" s="20"/>
      <c r="I647" s="20"/>
      <c r="J647" s="20"/>
      <c r="K647" s="20"/>
      <c r="L647" s="20"/>
      <c r="M647" s="20"/>
      <c r="N647" s="20"/>
      <c r="O647" s="20"/>
      <c r="P647" s="20"/>
      <c r="Q647" s="20"/>
      <c r="R647" s="20"/>
      <c r="S647" s="20"/>
      <c r="T647" s="20"/>
      <c r="U647" s="20"/>
      <c r="V647" s="20"/>
      <c r="W647" s="20"/>
      <c r="X647" s="20"/>
    </row>
    <row r="648" ht="12.0" customHeight="1">
      <c r="A648" s="20"/>
      <c r="B648" s="20"/>
      <c r="C648" s="20"/>
      <c r="D648" s="35"/>
      <c r="E648" s="20"/>
      <c r="F648" s="20"/>
      <c r="G648" s="20"/>
      <c r="H648" s="20"/>
      <c r="I648" s="20"/>
      <c r="J648" s="20"/>
      <c r="K648" s="20"/>
      <c r="L648" s="20"/>
      <c r="M648" s="20"/>
      <c r="N648" s="20"/>
      <c r="O648" s="20"/>
      <c r="P648" s="20"/>
      <c r="Q648" s="20"/>
      <c r="R648" s="20"/>
      <c r="S648" s="20"/>
      <c r="T648" s="20"/>
      <c r="U648" s="20"/>
      <c r="V648" s="20"/>
      <c r="W648" s="20"/>
      <c r="X648" s="20"/>
    </row>
    <row r="649" ht="12.0" customHeight="1">
      <c r="A649" s="20"/>
      <c r="B649" s="20"/>
      <c r="C649" s="20"/>
      <c r="D649" s="35"/>
      <c r="E649" s="20"/>
      <c r="F649" s="20"/>
      <c r="G649" s="20"/>
      <c r="H649" s="20"/>
      <c r="I649" s="20"/>
      <c r="J649" s="20"/>
      <c r="K649" s="20"/>
      <c r="L649" s="20"/>
      <c r="M649" s="20"/>
      <c r="N649" s="20"/>
      <c r="O649" s="20"/>
      <c r="P649" s="20"/>
      <c r="Q649" s="20"/>
      <c r="R649" s="20"/>
      <c r="S649" s="20"/>
      <c r="T649" s="20"/>
      <c r="U649" s="20"/>
      <c r="V649" s="20"/>
      <c r="W649" s="20"/>
      <c r="X649" s="20"/>
    </row>
    <row r="650" ht="12.0" customHeight="1">
      <c r="A650" s="20"/>
      <c r="B650" s="20"/>
      <c r="C650" s="20"/>
      <c r="D650" s="35"/>
      <c r="E650" s="20"/>
      <c r="F650" s="20"/>
      <c r="G650" s="20"/>
      <c r="H650" s="20"/>
      <c r="I650" s="20"/>
      <c r="J650" s="20"/>
      <c r="K650" s="20"/>
      <c r="L650" s="20"/>
      <c r="M650" s="20"/>
      <c r="N650" s="20"/>
      <c r="O650" s="20"/>
      <c r="P650" s="20"/>
      <c r="Q650" s="20"/>
      <c r="R650" s="20"/>
      <c r="S650" s="20"/>
      <c r="T650" s="20"/>
      <c r="U650" s="20"/>
      <c r="V650" s="20"/>
      <c r="W650" s="20"/>
      <c r="X650" s="20"/>
    </row>
    <row r="651" ht="12.0" customHeight="1">
      <c r="A651" s="20"/>
      <c r="B651" s="20"/>
      <c r="C651" s="20"/>
      <c r="D651" s="35"/>
      <c r="E651" s="20"/>
      <c r="F651" s="20"/>
      <c r="G651" s="20"/>
      <c r="H651" s="20"/>
      <c r="I651" s="20"/>
      <c r="J651" s="20"/>
      <c r="K651" s="20"/>
      <c r="L651" s="20"/>
      <c r="M651" s="20"/>
      <c r="N651" s="20"/>
      <c r="O651" s="20"/>
      <c r="P651" s="20"/>
      <c r="Q651" s="20"/>
      <c r="R651" s="20"/>
      <c r="S651" s="20"/>
      <c r="T651" s="20"/>
      <c r="U651" s="20"/>
      <c r="V651" s="20"/>
      <c r="W651" s="20"/>
      <c r="X651" s="20"/>
    </row>
    <row r="652" ht="12.0" customHeight="1">
      <c r="A652" s="20"/>
      <c r="B652" s="20"/>
      <c r="C652" s="20"/>
      <c r="D652" s="35"/>
      <c r="E652" s="20"/>
      <c r="F652" s="20"/>
      <c r="G652" s="20"/>
      <c r="H652" s="20"/>
      <c r="I652" s="20"/>
      <c r="J652" s="20"/>
      <c r="K652" s="20"/>
      <c r="L652" s="20"/>
      <c r="M652" s="20"/>
      <c r="N652" s="20"/>
      <c r="O652" s="20"/>
      <c r="P652" s="20"/>
      <c r="Q652" s="20"/>
      <c r="R652" s="20"/>
      <c r="S652" s="20"/>
      <c r="T652" s="20"/>
      <c r="U652" s="20"/>
      <c r="V652" s="20"/>
      <c r="W652" s="20"/>
      <c r="X652" s="20"/>
    </row>
    <row r="653" ht="12.0" customHeight="1">
      <c r="A653" s="20"/>
      <c r="B653" s="20"/>
      <c r="C653" s="20"/>
      <c r="D653" s="35"/>
      <c r="E653" s="20"/>
      <c r="F653" s="20"/>
      <c r="G653" s="20"/>
      <c r="H653" s="20"/>
      <c r="I653" s="20"/>
      <c r="J653" s="20"/>
      <c r="K653" s="20"/>
      <c r="L653" s="20"/>
      <c r="M653" s="20"/>
      <c r="N653" s="20"/>
      <c r="O653" s="20"/>
      <c r="P653" s="20"/>
      <c r="Q653" s="20"/>
      <c r="R653" s="20"/>
      <c r="S653" s="20"/>
      <c r="T653" s="20"/>
      <c r="U653" s="20"/>
      <c r="V653" s="20"/>
      <c r="W653" s="20"/>
      <c r="X653" s="20"/>
    </row>
    <row r="654" ht="12.0" customHeight="1">
      <c r="A654" s="20"/>
      <c r="B654" s="20"/>
      <c r="C654" s="20"/>
      <c r="D654" s="35"/>
      <c r="E654" s="20"/>
      <c r="F654" s="20"/>
      <c r="G654" s="20"/>
      <c r="H654" s="20"/>
      <c r="I654" s="20"/>
      <c r="J654" s="20"/>
      <c r="K654" s="20"/>
      <c r="L654" s="20"/>
      <c r="M654" s="20"/>
      <c r="N654" s="20"/>
      <c r="O654" s="20"/>
      <c r="P654" s="20"/>
      <c r="Q654" s="20"/>
      <c r="R654" s="20"/>
      <c r="S654" s="20"/>
      <c r="T654" s="20"/>
      <c r="U654" s="20"/>
      <c r="V654" s="20"/>
      <c r="W654" s="20"/>
      <c r="X654" s="20"/>
    </row>
    <row r="655" ht="12.0" customHeight="1">
      <c r="A655" s="20"/>
      <c r="B655" s="20"/>
      <c r="C655" s="20"/>
      <c r="D655" s="35"/>
      <c r="E655" s="20"/>
      <c r="F655" s="20"/>
      <c r="G655" s="20"/>
      <c r="H655" s="20"/>
      <c r="I655" s="20"/>
      <c r="J655" s="20"/>
      <c r="K655" s="20"/>
      <c r="L655" s="20"/>
      <c r="M655" s="20"/>
      <c r="N655" s="20"/>
      <c r="O655" s="20"/>
      <c r="P655" s="20"/>
      <c r="Q655" s="20"/>
      <c r="R655" s="20"/>
      <c r="S655" s="20"/>
      <c r="T655" s="20"/>
      <c r="U655" s="20"/>
      <c r="V655" s="20"/>
      <c r="W655" s="20"/>
      <c r="X655" s="20"/>
    </row>
    <row r="656" ht="12.0" customHeight="1">
      <c r="A656" s="20"/>
      <c r="B656" s="20"/>
      <c r="C656" s="20"/>
      <c r="D656" s="35"/>
      <c r="E656" s="20"/>
      <c r="F656" s="20"/>
      <c r="G656" s="20"/>
      <c r="H656" s="20"/>
      <c r="I656" s="20"/>
      <c r="J656" s="20"/>
      <c r="K656" s="20"/>
      <c r="L656" s="20"/>
      <c r="M656" s="20"/>
      <c r="N656" s="20"/>
      <c r="O656" s="20"/>
      <c r="P656" s="20"/>
      <c r="Q656" s="20"/>
      <c r="R656" s="20"/>
      <c r="S656" s="20"/>
      <c r="T656" s="20"/>
      <c r="U656" s="20"/>
      <c r="V656" s="20"/>
      <c r="W656" s="20"/>
      <c r="X656" s="20"/>
    </row>
    <row r="657" ht="12.0" customHeight="1">
      <c r="A657" s="20"/>
      <c r="B657" s="20"/>
      <c r="C657" s="20"/>
      <c r="D657" s="35"/>
      <c r="E657" s="20"/>
      <c r="F657" s="20"/>
      <c r="G657" s="20"/>
      <c r="H657" s="20"/>
      <c r="I657" s="20"/>
      <c r="J657" s="20"/>
      <c r="K657" s="20"/>
      <c r="L657" s="20"/>
      <c r="M657" s="20"/>
      <c r="N657" s="20"/>
      <c r="O657" s="20"/>
      <c r="P657" s="20"/>
      <c r="Q657" s="20"/>
      <c r="R657" s="20"/>
      <c r="S657" s="20"/>
      <c r="T657" s="20"/>
      <c r="U657" s="20"/>
      <c r="V657" s="20"/>
      <c r="W657" s="20"/>
      <c r="X657" s="20"/>
    </row>
    <row r="658" ht="12.0" customHeight="1">
      <c r="A658" s="20"/>
      <c r="B658" s="20"/>
      <c r="C658" s="20"/>
      <c r="D658" s="35"/>
      <c r="E658" s="20"/>
      <c r="F658" s="20"/>
      <c r="G658" s="20"/>
      <c r="H658" s="20"/>
      <c r="I658" s="20"/>
      <c r="J658" s="20"/>
      <c r="K658" s="20"/>
      <c r="L658" s="20"/>
      <c r="M658" s="20"/>
      <c r="N658" s="20"/>
      <c r="O658" s="20"/>
      <c r="P658" s="20"/>
      <c r="Q658" s="20"/>
      <c r="R658" s="20"/>
      <c r="S658" s="20"/>
      <c r="T658" s="20"/>
      <c r="U658" s="20"/>
      <c r="V658" s="20"/>
      <c r="W658" s="20"/>
      <c r="X658" s="20"/>
    </row>
    <row r="659" ht="12.0" customHeight="1">
      <c r="A659" s="20"/>
      <c r="B659" s="20"/>
      <c r="C659" s="20"/>
      <c r="D659" s="35"/>
      <c r="E659" s="20"/>
      <c r="F659" s="20"/>
      <c r="G659" s="20"/>
      <c r="H659" s="20"/>
      <c r="I659" s="20"/>
      <c r="J659" s="20"/>
      <c r="K659" s="20"/>
      <c r="L659" s="20"/>
      <c r="M659" s="20"/>
      <c r="N659" s="20"/>
      <c r="O659" s="20"/>
      <c r="P659" s="20"/>
      <c r="Q659" s="20"/>
      <c r="R659" s="20"/>
      <c r="S659" s="20"/>
      <c r="T659" s="20"/>
      <c r="U659" s="20"/>
      <c r="V659" s="20"/>
      <c r="W659" s="20"/>
      <c r="X659" s="20"/>
    </row>
    <row r="660" ht="12.0" customHeight="1">
      <c r="A660" s="20"/>
      <c r="B660" s="20"/>
      <c r="C660" s="20"/>
      <c r="D660" s="35"/>
      <c r="E660" s="20"/>
      <c r="F660" s="20"/>
      <c r="G660" s="20"/>
      <c r="H660" s="20"/>
      <c r="I660" s="20"/>
      <c r="J660" s="20"/>
      <c r="K660" s="20"/>
      <c r="L660" s="20"/>
      <c r="M660" s="20"/>
      <c r="N660" s="20"/>
      <c r="O660" s="20"/>
      <c r="P660" s="20"/>
      <c r="Q660" s="20"/>
      <c r="R660" s="20"/>
      <c r="S660" s="20"/>
      <c r="T660" s="20"/>
      <c r="U660" s="20"/>
      <c r="V660" s="20"/>
      <c r="W660" s="20"/>
      <c r="X660" s="20"/>
    </row>
    <row r="661" ht="12.0" customHeight="1">
      <c r="A661" s="20"/>
      <c r="B661" s="20"/>
      <c r="C661" s="20"/>
      <c r="D661" s="35"/>
      <c r="E661" s="20"/>
      <c r="F661" s="20"/>
      <c r="G661" s="20"/>
      <c r="H661" s="20"/>
      <c r="I661" s="20"/>
      <c r="J661" s="20"/>
      <c r="K661" s="20"/>
      <c r="L661" s="20"/>
      <c r="M661" s="20"/>
      <c r="N661" s="20"/>
      <c r="O661" s="20"/>
      <c r="P661" s="20"/>
      <c r="Q661" s="20"/>
      <c r="R661" s="20"/>
      <c r="S661" s="20"/>
      <c r="T661" s="20"/>
      <c r="U661" s="20"/>
      <c r="V661" s="20"/>
      <c r="W661" s="20"/>
      <c r="X661" s="20"/>
    </row>
    <row r="662" ht="12.0" customHeight="1">
      <c r="A662" s="20"/>
      <c r="B662" s="20"/>
      <c r="C662" s="20"/>
      <c r="D662" s="35"/>
      <c r="E662" s="20"/>
      <c r="F662" s="20"/>
      <c r="G662" s="20"/>
      <c r="H662" s="20"/>
      <c r="I662" s="20"/>
      <c r="J662" s="20"/>
      <c r="K662" s="20"/>
      <c r="L662" s="20"/>
      <c r="M662" s="20"/>
      <c r="N662" s="20"/>
      <c r="O662" s="20"/>
      <c r="P662" s="20"/>
      <c r="Q662" s="20"/>
      <c r="R662" s="20"/>
      <c r="S662" s="20"/>
      <c r="T662" s="20"/>
      <c r="U662" s="20"/>
      <c r="V662" s="20"/>
      <c r="W662" s="20"/>
      <c r="X662" s="20"/>
    </row>
    <row r="663" ht="12.0" customHeight="1">
      <c r="A663" s="20"/>
      <c r="B663" s="20"/>
      <c r="C663" s="20"/>
      <c r="D663" s="35"/>
      <c r="E663" s="20"/>
      <c r="F663" s="20"/>
      <c r="G663" s="20"/>
      <c r="H663" s="20"/>
      <c r="I663" s="20"/>
      <c r="J663" s="20"/>
      <c r="K663" s="20"/>
      <c r="L663" s="20"/>
      <c r="M663" s="20"/>
      <c r="N663" s="20"/>
      <c r="O663" s="20"/>
      <c r="P663" s="20"/>
      <c r="Q663" s="20"/>
      <c r="R663" s="20"/>
      <c r="S663" s="20"/>
      <c r="T663" s="20"/>
      <c r="U663" s="20"/>
      <c r="V663" s="20"/>
      <c r="W663" s="20"/>
      <c r="X663" s="20"/>
    </row>
    <row r="664" ht="12.0" customHeight="1">
      <c r="A664" s="20"/>
      <c r="B664" s="20"/>
      <c r="C664" s="20"/>
      <c r="D664" s="35"/>
      <c r="E664" s="20"/>
      <c r="F664" s="20"/>
      <c r="G664" s="20"/>
      <c r="H664" s="20"/>
      <c r="I664" s="20"/>
      <c r="J664" s="20"/>
      <c r="K664" s="20"/>
      <c r="L664" s="20"/>
      <c r="M664" s="20"/>
      <c r="N664" s="20"/>
      <c r="O664" s="20"/>
      <c r="P664" s="20"/>
      <c r="Q664" s="20"/>
      <c r="R664" s="20"/>
      <c r="S664" s="20"/>
      <c r="T664" s="20"/>
      <c r="U664" s="20"/>
      <c r="V664" s="20"/>
      <c r="W664" s="20"/>
      <c r="X664" s="20"/>
    </row>
    <row r="665" ht="12.0" customHeight="1">
      <c r="A665" s="20"/>
      <c r="B665" s="20"/>
      <c r="C665" s="20"/>
      <c r="D665" s="35"/>
      <c r="E665" s="20"/>
      <c r="F665" s="20"/>
      <c r="G665" s="20"/>
      <c r="H665" s="20"/>
      <c r="I665" s="20"/>
      <c r="J665" s="20"/>
      <c r="K665" s="20"/>
      <c r="L665" s="20"/>
      <c r="M665" s="20"/>
      <c r="N665" s="20"/>
      <c r="O665" s="20"/>
      <c r="P665" s="20"/>
      <c r="Q665" s="20"/>
      <c r="R665" s="20"/>
      <c r="S665" s="20"/>
      <c r="T665" s="20"/>
      <c r="U665" s="20"/>
      <c r="V665" s="20"/>
      <c r="W665" s="20"/>
      <c r="X665" s="20"/>
    </row>
    <row r="666" ht="12.0" customHeight="1">
      <c r="A666" s="20"/>
      <c r="B666" s="20"/>
      <c r="C666" s="20"/>
      <c r="D666" s="35"/>
      <c r="E666" s="20"/>
      <c r="F666" s="20"/>
      <c r="G666" s="20"/>
      <c r="H666" s="20"/>
      <c r="I666" s="20"/>
      <c r="J666" s="20"/>
      <c r="K666" s="20"/>
      <c r="L666" s="20"/>
      <c r="M666" s="20"/>
      <c r="N666" s="20"/>
      <c r="O666" s="20"/>
      <c r="P666" s="20"/>
      <c r="Q666" s="20"/>
      <c r="R666" s="20"/>
      <c r="S666" s="20"/>
      <c r="T666" s="20"/>
      <c r="U666" s="20"/>
      <c r="V666" s="20"/>
      <c r="W666" s="20"/>
      <c r="X666" s="20"/>
    </row>
    <row r="667" ht="12.0" customHeight="1">
      <c r="A667" s="20"/>
      <c r="B667" s="20"/>
      <c r="C667" s="20"/>
      <c r="D667" s="35"/>
      <c r="E667" s="20"/>
      <c r="F667" s="20"/>
      <c r="G667" s="20"/>
      <c r="H667" s="20"/>
      <c r="I667" s="20"/>
      <c r="J667" s="20"/>
      <c r="K667" s="20"/>
      <c r="L667" s="20"/>
      <c r="M667" s="20"/>
      <c r="N667" s="20"/>
      <c r="O667" s="20"/>
      <c r="P667" s="20"/>
      <c r="Q667" s="20"/>
      <c r="R667" s="20"/>
      <c r="S667" s="20"/>
      <c r="T667" s="20"/>
      <c r="U667" s="20"/>
      <c r="V667" s="20"/>
      <c r="W667" s="20"/>
      <c r="X667" s="20"/>
    </row>
    <row r="668" ht="12.0" customHeight="1">
      <c r="A668" s="20"/>
      <c r="B668" s="20"/>
      <c r="C668" s="20"/>
      <c r="D668" s="35"/>
      <c r="E668" s="20"/>
      <c r="F668" s="20"/>
      <c r="G668" s="20"/>
      <c r="H668" s="20"/>
      <c r="I668" s="20"/>
      <c r="J668" s="20"/>
      <c r="K668" s="20"/>
      <c r="L668" s="20"/>
      <c r="M668" s="20"/>
      <c r="N668" s="20"/>
      <c r="O668" s="20"/>
      <c r="P668" s="20"/>
      <c r="Q668" s="20"/>
      <c r="R668" s="20"/>
      <c r="S668" s="20"/>
      <c r="T668" s="20"/>
      <c r="U668" s="20"/>
      <c r="V668" s="20"/>
      <c r="W668" s="20"/>
      <c r="X668" s="20"/>
    </row>
    <row r="669" ht="12.0" customHeight="1">
      <c r="A669" s="20"/>
      <c r="B669" s="20"/>
      <c r="C669" s="20"/>
      <c r="D669" s="35"/>
      <c r="E669" s="20"/>
      <c r="F669" s="20"/>
      <c r="G669" s="20"/>
      <c r="H669" s="20"/>
      <c r="I669" s="20"/>
      <c r="J669" s="20"/>
      <c r="K669" s="20"/>
      <c r="L669" s="20"/>
      <c r="M669" s="20"/>
      <c r="N669" s="20"/>
      <c r="O669" s="20"/>
      <c r="P669" s="20"/>
      <c r="Q669" s="20"/>
      <c r="R669" s="20"/>
      <c r="S669" s="20"/>
      <c r="T669" s="20"/>
      <c r="U669" s="20"/>
      <c r="V669" s="20"/>
      <c r="W669" s="20"/>
      <c r="X669" s="20"/>
    </row>
    <row r="670" ht="12.0" customHeight="1">
      <c r="A670" s="20"/>
      <c r="B670" s="20"/>
      <c r="C670" s="20"/>
      <c r="D670" s="35"/>
      <c r="E670" s="20"/>
      <c r="F670" s="20"/>
      <c r="G670" s="20"/>
      <c r="H670" s="20"/>
      <c r="I670" s="20"/>
      <c r="J670" s="20"/>
      <c r="K670" s="20"/>
      <c r="L670" s="20"/>
      <c r="M670" s="20"/>
      <c r="N670" s="20"/>
      <c r="O670" s="20"/>
      <c r="P670" s="20"/>
      <c r="Q670" s="20"/>
      <c r="R670" s="20"/>
      <c r="S670" s="20"/>
      <c r="T670" s="20"/>
      <c r="U670" s="20"/>
      <c r="V670" s="20"/>
      <c r="W670" s="20"/>
      <c r="X670" s="20"/>
    </row>
    <row r="671" ht="12.0" customHeight="1">
      <c r="A671" s="20"/>
      <c r="B671" s="20"/>
      <c r="C671" s="20"/>
      <c r="D671" s="35"/>
      <c r="E671" s="20"/>
      <c r="F671" s="20"/>
      <c r="G671" s="20"/>
      <c r="H671" s="20"/>
      <c r="I671" s="20"/>
      <c r="J671" s="20"/>
      <c r="K671" s="20"/>
      <c r="L671" s="20"/>
      <c r="M671" s="20"/>
      <c r="N671" s="20"/>
      <c r="O671" s="20"/>
      <c r="P671" s="20"/>
      <c r="Q671" s="20"/>
      <c r="R671" s="20"/>
      <c r="S671" s="20"/>
      <c r="T671" s="20"/>
      <c r="U671" s="20"/>
      <c r="V671" s="20"/>
      <c r="W671" s="20"/>
      <c r="X671" s="20"/>
    </row>
    <row r="672" ht="12.0" customHeight="1">
      <c r="A672" s="20"/>
      <c r="B672" s="20"/>
      <c r="C672" s="20"/>
      <c r="D672" s="35"/>
      <c r="E672" s="20"/>
      <c r="F672" s="20"/>
      <c r="G672" s="20"/>
      <c r="H672" s="20"/>
      <c r="I672" s="20"/>
      <c r="J672" s="20"/>
      <c r="K672" s="20"/>
      <c r="L672" s="20"/>
      <c r="M672" s="20"/>
      <c r="N672" s="20"/>
      <c r="O672" s="20"/>
      <c r="P672" s="20"/>
      <c r="Q672" s="20"/>
      <c r="R672" s="20"/>
      <c r="S672" s="20"/>
      <c r="T672" s="20"/>
      <c r="U672" s="20"/>
      <c r="V672" s="20"/>
      <c r="W672" s="20"/>
      <c r="X672" s="20"/>
    </row>
    <row r="673" ht="12.0" customHeight="1">
      <c r="A673" s="20"/>
      <c r="B673" s="20"/>
      <c r="C673" s="20"/>
      <c r="D673" s="35"/>
      <c r="E673" s="20"/>
      <c r="F673" s="20"/>
      <c r="G673" s="20"/>
      <c r="H673" s="20"/>
      <c r="I673" s="20"/>
      <c r="J673" s="20"/>
      <c r="K673" s="20"/>
      <c r="L673" s="20"/>
      <c r="M673" s="20"/>
      <c r="N673" s="20"/>
      <c r="O673" s="20"/>
      <c r="P673" s="20"/>
      <c r="Q673" s="20"/>
      <c r="R673" s="20"/>
      <c r="S673" s="20"/>
      <c r="T673" s="20"/>
      <c r="U673" s="20"/>
      <c r="V673" s="20"/>
      <c r="W673" s="20"/>
      <c r="X673" s="20"/>
    </row>
    <row r="674" ht="12.0" customHeight="1">
      <c r="A674" s="20"/>
      <c r="B674" s="20"/>
      <c r="C674" s="20"/>
      <c r="D674" s="35"/>
      <c r="E674" s="20"/>
      <c r="F674" s="20"/>
      <c r="G674" s="20"/>
      <c r="H674" s="20"/>
      <c r="I674" s="20"/>
      <c r="J674" s="20"/>
      <c r="K674" s="20"/>
      <c r="L674" s="20"/>
      <c r="M674" s="20"/>
      <c r="N674" s="20"/>
      <c r="O674" s="20"/>
      <c r="P674" s="20"/>
      <c r="Q674" s="20"/>
      <c r="R674" s="20"/>
      <c r="S674" s="20"/>
      <c r="T674" s="20"/>
      <c r="U674" s="20"/>
      <c r="V674" s="20"/>
      <c r="W674" s="20"/>
      <c r="X674" s="20"/>
    </row>
    <row r="675" ht="12.0" customHeight="1">
      <c r="A675" s="20"/>
      <c r="B675" s="20"/>
      <c r="C675" s="20"/>
      <c r="D675" s="35"/>
      <c r="E675" s="20"/>
      <c r="F675" s="20"/>
      <c r="G675" s="20"/>
      <c r="H675" s="20"/>
      <c r="I675" s="20"/>
      <c r="J675" s="20"/>
      <c r="K675" s="20"/>
      <c r="L675" s="20"/>
      <c r="M675" s="20"/>
      <c r="N675" s="20"/>
      <c r="O675" s="20"/>
      <c r="P675" s="20"/>
      <c r="Q675" s="20"/>
      <c r="R675" s="20"/>
      <c r="S675" s="20"/>
      <c r="T675" s="20"/>
      <c r="U675" s="20"/>
      <c r="V675" s="20"/>
      <c r="W675" s="20"/>
      <c r="X675" s="20"/>
    </row>
    <row r="676" ht="12.0" customHeight="1">
      <c r="A676" s="20"/>
      <c r="B676" s="20"/>
      <c r="C676" s="20"/>
      <c r="D676" s="35"/>
      <c r="E676" s="20"/>
      <c r="F676" s="20"/>
      <c r="G676" s="20"/>
      <c r="H676" s="20"/>
      <c r="I676" s="20"/>
      <c r="J676" s="20"/>
      <c r="K676" s="20"/>
      <c r="L676" s="20"/>
      <c r="M676" s="20"/>
      <c r="N676" s="20"/>
      <c r="O676" s="20"/>
      <c r="P676" s="20"/>
      <c r="Q676" s="20"/>
      <c r="R676" s="20"/>
      <c r="S676" s="20"/>
      <c r="T676" s="20"/>
      <c r="U676" s="20"/>
      <c r="V676" s="20"/>
      <c r="W676" s="20"/>
      <c r="X676" s="20"/>
    </row>
    <row r="677" ht="12.0" customHeight="1">
      <c r="A677" s="20"/>
      <c r="B677" s="20"/>
      <c r="C677" s="20"/>
      <c r="D677" s="35"/>
      <c r="E677" s="20"/>
      <c r="F677" s="20"/>
      <c r="G677" s="20"/>
      <c r="H677" s="20"/>
      <c r="I677" s="20"/>
      <c r="J677" s="20"/>
      <c r="K677" s="20"/>
      <c r="L677" s="20"/>
      <c r="M677" s="20"/>
      <c r="N677" s="20"/>
      <c r="O677" s="20"/>
      <c r="P677" s="20"/>
      <c r="Q677" s="20"/>
      <c r="R677" s="20"/>
      <c r="S677" s="20"/>
      <c r="T677" s="20"/>
      <c r="U677" s="20"/>
      <c r="V677" s="20"/>
      <c r="W677" s="20"/>
      <c r="X677" s="20"/>
    </row>
    <row r="678" ht="12.0" customHeight="1">
      <c r="A678" s="20"/>
      <c r="B678" s="20"/>
      <c r="C678" s="20"/>
      <c r="D678" s="35"/>
      <c r="E678" s="20"/>
      <c r="F678" s="20"/>
      <c r="G678" s="20"/>
      <c r="H678" s="20"/>
      <c r="I678" s="20"/>
      <c r="J678" s="20"/>
      <c r="K678" s="20"/>
      <c r="L678" s="20"/>
      <c r="M678" s="20"/>
      <c r="N678" s="20"/>
      <c r="O678" s="20"/>
      <c r="P678" s="20"/>
      <c r="Q678" s="20"/>
      <c r="R678" s="20"/>
      <c r="S678" s="20"/>
      <c r="T678" s="20"/>
      <c r="U678" s="20"/>
      <c r="V678" s="20"/>
      <c r="W678" s="20"/>
      <c r="X678" s="20"/>
    </row>
    <row r="679" ht="12.0" customHeight="1">
      <c r="A679" s="20"/>
      <c r="B679" s="20"/>
      <c r="C679" s="20"/>
      <c r="D679" s="35"/>
      <c r="E679" s="20"/>
      <c r="F679" s="20"/>
      <c r="G679" s="20"/>
      <c r="H679" s="20"/>
      <c r="I679" s="20"/>
      <c r="J679" s="20"/>
      <c r="K679" s="20"/>
      <c r="L679" s="20"/>
      <c r="M679" s="20"/>
      <c r="N679" s="20"/>
      <c r="O679" s="20"/>
      <c r="P679" s="20"/>
      <c r="Q679" s="20"/>
      <c r="R679" s="20"/>
      <c r="S679" s="20"/>
      <c r="T679" s="20"/>
      <c r="U679" s="20"/>
      <c r="V679" s="20"/>
      <c r="W679" s="20"/>
      <c r="X679" s="20"/>
    </row>
    <row r="680" ht="12.0" customHeight="1">
      <c r="A680" s="20"/>
      <c r="B680" s="20"/>
      <c r="C680" s="20"/>
      <c r="D680" s="35"/>
      <c r="E680" s="20"/>
      <c r="F680" s="20"/>
      <c r="G680" s="20"/>
      <c r="H680" s="20"/>
      <c r="I680" s="20"/>
      <c r="J680" s="20"/>
      <c r="K680" s="20"/>
      <c r="L680" s="20"/>
      <c r="M680" s="20"/>
      <c r="N680" s="20"/>
      <c r="O680" s="20"/>
      <c r="P680" s="20"/>
      <c r="Q680" s="20"/>
      <c r="R680" s="20"/>
      <c r="S680" s="20"/>
      <c r="T680" s="20"/>
      <c r="U680" s="20"/>
      <c r="V680" s="20"/>
      <c r="W680" s="20"/>
      <c r="X680" s="20"/>
    </row>
    <row r="681" ht="12.0" customHeight="1">
      <c r="A681" s="20"/>
      <c r="B681" s="20"/>
      <c r="C681" s="20"/>
      <c r="D681" s="35"/>
      <c r="E681" s="20"/>
      <c r="F681" s="20"/>
      <c r="G681" s="20"/>
      <c r="H681" s="20"/>
      <c r="I681" s="20"/>
      <c r="J681" s="20"/>
      <c r="K681" s="20"/>
      <c r="L681" s="20"/>
      <c r="M681" s="20"/>
      <c r="N681" s="20"/>
      <c r="O681" s="20"/>
      <c r="P681" s="20"/>
      <c r="Q681" s="20"/>
      <c r="R681" s="20"/>
      <c r="S681" s="20"/>
      <c r="T681" s="20"/>
      <c r="U681" s="20"/>
      <c r="V681" s="20"/>
      <c r="W681" s="20"/>
      <c r="X681" s="20"/>
    </row>
    <row r="682" ht="12.0" customHeight="1">
      <c r="A682" s="20"/>
      <c r="B682" s="20"/>
      <c r="C682" s="20"/>
      <c r="D682" s="35"/>
      <c r="E682" s="20"/>
      <c r="F682" s="20"/>
      <c r="G682" s="20"/>
      <c r="H682" s="20"/>
      <c r="I682" s="20"/>
      <c r="J682" s="20"/>
      <c r="K682" s="20"/>
      <c r="L682" s="20"/>
      <c r="M682" s="20"/>
      <c r="N682" s="20"/>
      <c r="O682" s="20"/>
      <c r="P682" s="20"/>
      <c r="Q682" s="20"/>
      <c r="R682" s="20"/>
      <c r="S682" s="20"/>
      <c r="T682" s="20"/>
      <c r="U682" s="20"/>
      <c r="V682" s="20"/>
      <c r="W682" s="20"/>
      <c r="X682" s="20"/>
    </row>
    <row r="683" ht="12.0" customHeight="1">
      <c r="A683" s="20"/>
      <c r="B683" s="20"/>
      <c r="C683" s="20"/>
      <c r="D683" s="35"/>
      <c r="E683" s="20"/>
      <c r="F683" s="20"/>
      <c r="G683" s="20"/>
      <c r="H683" s="20"/>
      <c r="I683" s="20"/>
      <c r="J683" s="20"/>
      <c r="K683" s="20"/>
      <c r="L683" s="20"/>
      <c r="M683" s="20"/>
      <c r="N683" s="20"/>
      <c r="O683" s="20"/>
      <c r="P683" s="20"/>
      <c r="Q683" s="20"/>
      <c r="R683" s="20"/>
      <c r="S683" s="20"/>
      <c r="T683" s="20"/>
      <c r="U683" s="20"/>
      <c r="V683" s="20"/>
      <c r="W683" s="20"/>
      <c r="X683" s="20"/>
    </row>
    <row r="684" ht="12.0" customHeight="1">
      <c r="A684" s="20"/>
      <c r="B684" s="20"/>
      <c r="C684" s="20"/>
      <c r="D684" s="35"/>
      <c r="E684" s="20"/>
      <c r="F684" s="20"/>
      <c r="G684" s="20"/>
      <c r="H684" s="20"/>
      <c r="I684" s="20"/>
      <c r="J684" s="20"/>
      <c r="K684" s="20"/>
      <c r="L684" s="20"/>
      <c r="M684" s="20"/>
      <c r="N684" s="20"/>
      <c r="O684" s="20"/>
      <c r="P684" s="20"/>
      <c r="Q684" s="20"/>
      <c r="R684" s="20"/>
      <c r="S684" s="20"/>
      <c r="T684" s="20"/>
      <c r="U684" s="20"/>
      <c r="V684" s="20"/>
      <c r="W684" s="20"/>
      <c r="X684" s="20"/>
    </row>
    <row r="685" ht="12.0" customHeight="1">
      <c r="A685" s="20"/>
      <c r="B685" s="20"/>
      <c r="C685" s="20"/>
      <c r="D685" s="35"/>
      <c r="E685" s="20"/>
      <c r="F685" s="20"/>
      <c r="G685" s="20"/>
      <c r="H685" s="20"/>
      <c r="I685" s="20"/>
      <c r="J685" s="20"/>
      <c r="K685" s="20"/>
      <c r="L685" s="20"/>
      <c r="M685" s="20"/>
      <c r="N685" s="20"/>
      <c r="O685" s="20"/>
      <c r="P685" s="20"/>
      <c r="Q685" s="20"/>
      <c r="R685" s="20"/>
      <c r="S685" s="20"/>
      <c r="T685" s="20"/>
      <c r="U685" s="20"/>
      <c r="V685" s="20"/>
      <c r="W685" s="20"/>
      <c r="X685" s="20"/>
    </row>
    <row r="686" ht="12.0" customHeight="1">
      <c r="A686" s="20"/>
      <c r="B686" s="20"/>
      <c r="C686" s="20"/>
      <c r="D686" s="35"/>
      <c r="E686" s="20"/>
      <c r="F686" s="20"/>
      <c r="G686" s="20"/>
      <c r="H686" s="20"/>
      <c r="I686" s="20"/>
      <c r="J686" s="20"/>
      <c r="K686" s="20"/>
      <c r="L686" s="20"/>
      <c r="M686" s="20"/>
      <c r="N686" s="20"/>
      <c r="O686" s="20"/>
      <c r="P686" s="20"/>
      <c r="Q686" s="20"/>
      <c r="R686" s="20"/>
      <c r="S686" s="20"/>
      <c r="T686" s="20"/>
      <c r="U686" s="20"/>
      <c r="V686" s="20"/>
      <c r="W686" s="20"/>
      <c r="X686" s="20"/>
    </row>
    <row r="687" ht="12.0" customHeight="1">
      <c r="A687" s="20"/>
      <c r="B687" s="20"/>
      <c r="C687" s="20"/>
      <c r="D687" s="35"/>
      <c r="E687" s="20"/>
      <c r="F687" s="20"/>
      <c r="G687" s="20"/>
      <c r="H687" s="20"/>
      <c r="I687" s="20"/>
      <c r="J687" s="20"/>
      <c r="K687" s="20"/>
      <c r="L687" s="20"/>
      <c r="M687" s="20"/>
      <c r="N687" s="20"/>
      <c r="O687" s="20"/>
      <c r="P687" s="20"/>
      <c r="Q687" s="20"/>
      <c r="R687" s="20"/>
      <c r="S687" s="20"/>
      <c r="T687" s="20"/>
      <c r="U687" s="20"/>
      <c r="V687" s="20"/>
      <c r="W687" s="20"/>
      <c r="X687" s="20"/>
    </row>
    <row r="688" ht="12.0" customHeight="1">
      <c r="A688" s="20"/>
      <c r="B688" s="20"/>
      <c r="C688" s="20"/>
      <c r="D688" s="35"/>
      <c r="E688" s="20"/>
      <c r="F688" s="20"/>
      <c r="G688" s="20"/>
      <c r="H688" s="20"/>
      <c r="I688" s="20"/>
      <c r="J688" s="20"/>
      <c r="K688" s="20"/>
      <c r="L688" s="20"/>
      <c r="M688" s="20"/>
      <c r="N688" s="20"/>
      <c r="O688" s="20"/>
      <c r="P688" s="20"/>
      <c r="Q688" s="20"/>
      <c r="R688" s="20"/>
      <c r="S688" s="20"/>
      <c r="T688" s="20"/>
      <c r="U688" s="20"/>
      <c r="V688" s="20"/>
      <c r="W688" s="20"/>
      <c r="X688" s="20"/>
    </row>
    <row r="689" ht="12.0" customHeight="1">
      <c r="A689" s="20"/>
      <c r="B689" s="20"/>
      <c r="C689" s="20"/>
      <c r="D689" s="35"/>
      <c r="E689" s="20"/>
      <c r="F689" s="20"/>
      <c r="G689" s="20"/>
      <c r="H689" s="20"/>
      <c r="I689" s="20"/>
      <c r="J689" s="20"/>
      <c r="K689" s="20"/>
      <c r="L689" s="20"/>
      <c r="M689" s="20"/>
      <c r="N689" s="20"/>
      <c r="O689" s="20"/>
      <c r="P689" s="20"/>
      <c r="Q689" s="20"/>
      <c r="R689" s="20"/>
      <c r="S689" s="20"/>
      <c r="T689" s="20"/>
      <c r="U689" s="20"/>
      <c r="V689" s="20"/>
      <c r="W689" s="20"/>
      <c r="X689" s="20"/>
    </row>
    <row r="690" ht="12.0" customHeight="1">
      <c r="A690" s="20"/>
      <c r="B690" s="20"/>
      <c r="C690" s="20"/>
      <c r="D690" s="35"/>
      <c r="E690" s="20"/>
      <c r="F690" s="20"/>
      <c r="G690" s="20"/>
      <c r="H690" s="20"/>
      <c r="I690" s="20"/>
      <c r="J690" s="20"/>
      <c r="K690" s="20"/>
      <c r="L690" s="20"/>
      <c r="M690" s="20"/>
      <c r="N690" s="20"/>
      <c r="O690" s="20"/>
      <c r="P690" s="20"/>
      <c r="Q690" s="20"/>
      <c r="R690" s="20"/>
      <c r="S690" s="20"/>
      <c r="T690" s="20"/>
      <c r="U690" s="20"/>
      <c r="V690" s="20"/>
      <c r="W690" s="20"/>
      <c r="X690" s="20"/>
    </row>
    <row r="691" ht="12.0" customHeight="1">
      <c r="A691" s="20"/>
      <c r="B691" s="20"/>
      <c r="C691" s="20"/>
      <c r="D691" s="35"/>
      <c r="E691" s="20"/>
      <c r="F691" s="20"/>
      <c r="G691" s="20"/>
      <c r="H691" s="20"/>
      <c r="I691" s="20"/>
      <c r="J691" s="20"/>
      <c r="K691" s="20"/>
      <c r="L691" s="20"/>
      <c r="M691" s="20"/>
      <c r="N691" s="20"/>
      <c r="O691" s="20"/>
      <c r="P691" s="20"/>
      <c r="Q691" s="20"/>
      <c r="R691" s="20"/>
      <c r="S691" s="20"/>
      <c r="T691" s="20"/>
      <c r="U691" s="20"/>
      <c r="V691" s="20"/>
      <c r="W691" s="20"/>
      <c r="X691" s="20"/>
    </row>
    <row r="692" ht="12.0" customHeight="1">
      <c r="A692" s="20"/>
      <c r="B692" s="20"/>
      <c r="C692" s="20"/>
      <c r="D692" s="35"/>
      <c r="E692" s="20"/>
      <c r="F692" s="20"/>
      <c r="G692" s="20"/>
      <c r="H692" s="20"/>
      <c r="I692" s="20"/>
      <c r="J692" s="20"/>
      <c r="K692" s="20"/>
      <c r="L692" s="20"/>
      <c r="M692" s="20"/>
      <c r="N692" s="20"/>
      <c r="O692" s="20"/>
      <c r="P692" s="20"/>
      <c r="Q692" s="20"/>
      <c r="R692" s="20"/>
      <c r="S692" s="20"/>
      <c r="T692" s="20"/>
      <c r="U692" s="20"/>
      <c r="V692" s="20"/>
      <c r="W692" s="20"/>
      <c r="X692" s="20"/>
    </row>
    <row r="693" ht="12.0" customHeight="1">
      <c r="A693" s="20"/>
      <c r="B693" s="20"/>
      <c r="C693" s="20"/>
      <c r="D693" s="35"/>
      <c r="E693" s="20"/>
      <c r="F693" s="20"/>
      <c r="G693" s="20"/>
      <c r="H693" s="20"/>
      <c r="I693" s="20"/>
      <c r="J693" s="20"/>
      <c r="K693" s="20"/>
      <c r="L693" s="20"/>
      <c r="M693" s="20"/>
      <c r="N693" s="20"/>
      <c r="O693" s="20"/>
      <c r="P693" s="20"/>
      <c r="Q693" s="20"/>
      <c r="R693" s="20"/>
      <c r="S693" s="20"/>
      <c r="T693" s="20"/>
      <c r="U693" s="20"/>
      <c r="V693" s="20"/>
      <c r="W693" s="20"/>
      <c r="X693" s="20"/>
    </row>
    <row r="694" ht="12.0" customHeight="1">
      <c r="A694" s="20"/>
      <c r="B694" s="20"/>
      <c r="C694" s="20"/>
      <c r="D694" s="35"/>
      <c r="E694" s="20"/>
      <c r="F694" s="20"/>
      <c r="G694" s="20"/>
      <c r="H694" s="20"/>
      <c r="I694" s="20"/>
      <c r="J694" s="20"/>
      <c r="K694" s="20"/>
      <c r="L694" s="20"/>
      <c r="M694" s="20"/>
      <c r="N694" s="20"/>
      <c r="O694" s="20"/>
      <c r="P694" s="20"/>
      <c r="Q694" s="20"/>
      <c r="R694" s="20"/>
      <c r="S694" s="20"/>
      <c r="T694" s="20"/>
      <c r="U694" s="20"/>
      <c r="V694" s="20"/>
      <c r="W694" s="20"/>
      <c r="X694" s="20"/>
    </row>
    <row r="695" ht="12.0" customHeight="1">
      <c r="A695" s="20"/>
      <c r="B695" s="20"/>
      <c r="C695" s="20"/>
      <c r="D695" s="35"/>
      <c r="E695" s="20"/>
      <c r="F695" s="20"/>
      <c r="G695" s="20"/>
      <c r="H695" s="20"/>
      <c r="I695" s="20"/>
      <c r="J695" s="20"/>
      <c r="K695" s="20"/>
      <c r="L695" s="20"/>
      <c r="M695" s="20"/>
      <c r="N695" s="20"/>
      <c r="O695" s="20"/>
      <c r="P695" s="20"/>
      <c r="Q695" s="20"/>
      <c r="R695" s="20"/>
      <c r="S695" s="20"/>
      <c r="T695" s="20"/>
      <c r="U695" s="20"/>
      <c r="V695" s="20"/>
      <c r="W695" s="20"/>
      <c r="X695" s="20"/>
    </row>
    <row r="696" ht="12.0" customHeight="1">
      <c r="A696" s="20"/>
      <c r="B696" s="20"/>
      <c r="C696" s="20"/>
      <c r="D696" s="35"/>
      <c r="E696" s="20"/>
      <c r="F696" s="20"/>
      <c r="G696" s="20"/>
      <c r="H696" s="20"/>
      <c r="I696" s="20"/>
      <c r="J696" s="20"/>
      <c r="K696" s="20"/>
      <c r="L696" s="20"/>
      <c r="M696" s="20"/>
      <c r="N696" s="20"/>
      <c r="O696" s="20"/>
      <c r="P696" s="20"/>
      <c r="Q696" s="20"/>
      <c r="R696" s="20"/>
      <c r="S696" s="20"/>
      <c r="T696" s="20"/>
      <c r="U696" s="20"/>
      <c r="V696" s="20"/>
      <c r="W696" s="20"/>
      <c r="X696" s="20"/>
    </row>
    <row r="697" ht="12.0" customHeight="1">
      <c r="A697" s="20"/>
      <c r="B697" s="20"/>
      <c r="C697" s="20"/>
      <c r="D697" s="35"/>
      <c r="E697" s="20"/>
      <c r="F697" s="20"/>
      <c r="G697" s="20"/>
      <c r="H697" s="20"/>
      <c r="I697" s="20"/>
      <c r="J697" s="20"/>
      <c r="K697" s="20"/>
      <c r="L697" s="20"/>
      <c r="M697" s="20"/>
      <c r="N697" s="20"/>
      <c r="O697" s="20"/>
      <c r="P697" s="20"/>
      <c r="Q697" s="20"/>
      <c r="R697" s="20"/>
      <c r="S697" s="20"/>
      <c r="T697" s="20"/>
      <c r="U697" s="20"/>
      <c r="V697" s="20"/>
      <c r="W697" s="20"/>
      <c r="X697" s="20"/>
    </row>
    <row r="698" ht="12.0" customHeight="1">
      <c r="A698" s="20"/>
      <c r="B698" s="20"/>
      <c r="C698" s="20"/>
      <c r="D698" s="35"/>
      <c r="E698" s="20"/>
      <c r="F698" s="20"/>
      <c r="G698" s="20"/>
      <c r="H698" s="20"/>
      <c r="I698" s="20"/>
      <c r="J698" s="20"/>
      <c r="K698" s="20"/>
      <c r="L698" s="20"/>
      <c r="M698" s="20"/>
      <c r="N698" s="20"/>
      <c r="O698" s="20"/>
      <c r="P698" s="20"/>
      <c r="Q698" s="20"/>
      <c r="R698" s="20"/>
      <c r="S698" s="20"/>
      <c r="T698" s="20"/>
      <c r="U698" s="20"/>
      <c r="V698" s="20"/>
      <c r="W698" s="20"/>
      <c r="X698" s="20"/>
    </row>
    <row r="699" ht="12.0" customHeight="1">
      <c r="A699" s="20"/>
      <c r="B699" s="20"/>
      <c r="C699" s="20"/>
      <c r="D699" s="35"/>
      <c r="E699" s="20"/>
      <c r="F699" s="20"/>
      <c r="G699" s="20"/>
      <c r="H699" s="20"/>
      <c r="I699" s="20"/>
      <c r="J699" s="20"/>
      <c r="K699" s="20"/>
      <c r="L699" s="20"/>
      <c r="M699" s="20"/>
      <c r="N699" s="20"/>
      <c r="O699" s="20"/>
      <c r="P699" s="20"/>
      <c r="Q699" s="20"/>
      <c r="R699" s="20"/>
      <c r="S699" s="20"/>
      <c r="T699" s="20"/>
      <c r="U699" s="20"/>
      <c r="V699" s="20"/>
      <c r="W699" s="20"/>
      <c r="X699" s="20"/>
    </row>
    <row r="700" ht="12.0" customHeight="1">
      <c r="A700" s="20"/>
      <c r="B700" s="20"/>
      <c r="C700" s="20"/>
      <c r="D700" s="35"/>
      <c r="E700" s="20"/>
      <c r="F700" s="20"/>
      <c r="G700" s="20"/>
      <c r="H700" s="20"/>
      <c r="I700" s="20"/>
      <c r="J700" s="20"/>
      <c r="K700" s="20"/>
      <c r="L700" s="20"/>
      <c r="M700" s="20"/>
      <c r="N700" s="20"/>
      <c r="O700" s="20"/>
      <c r="P700" s="20"/>
      <c r="Q700" s="20"/>
      <c r="R700" s="20"/>
      <c r="S700" s="20"/>
      <c r="T700" s="20"/>
      <c r="U700" s="20"/>
      <c r="V700" s="20"/>
      <c r="W700" s="20"/>
      <c r="X700" s="20"/>
    </row>
    <row r="701" ht="12.0" customHeight="1">
      <c r="A701" s="20"/>
      <c r="B701" s="20"/>
      <c r="C701" s="20"/>
      <c r="D701" s="35"/>
      <c r="E701" s="20"/>
      <c r="F701" s="20"/>
      <c r="G701" s="20"/>
      <c r="H701" s="20"/>
      <c r="I701" s="20"/>
      <c r="J701" s="20"/>
      <c r="K701" s="20"/>
      <c r="L701" s="20"/>
      <c r="M701" s="20"/>
      <c r="N701" s="20"/>
      <c r="O701" s="20"/>
      <c r="P701" s="20"/>
      <c r="Q701" s="20"/>
      <c r="R701" s="20"/>
      <c r="S701" s="20"/>
      <c r="T701" s="20"/>
      <c r="U701" s="20"/>
      <c r="V701" s="20"/>
      <c r="W701" s="20"/>
      <c r="X701" s="20"/>
    </row>
    <row r="702" ht="12.0" customHeight="1">
      <c r="A702" s="20"/>
      <c r="B702" s="20"/>
      <c r="C702" s="20"/>
      <c r="D702" s="35"/>
      <c r="E702" s="20"/>
      <c r="F702" s="20"/>
      <c r="G702" s="20"/>
      <c r="H702" s="20"/>
      <c r="I702" s="20"/>
      <c r="J702" s="20"/>
      <c r="K702" s="20"/>
      <c r="L702" s="20"/>
      <c r="M702" s="20"/>
      <c r="N702" s="20"/>
      <c r="O702" s="20"/>
      <c r="P702" s="20"/>
      <c r="Q702" s="20"/>
      <c r="R702" s="20"/>
      <c r="S702" s="20"/>
      <c r="T702" s="20"/>
      <c r="U702" s="20"/>
      <c r="V702" s="20"/>
      <c r="W702" s="20"/>
      <c r="X702" s="20"/>
    </row>
    <row r="703" ht="12.0" customHeight="1">
      <c r="A703" s="20"/>
      <c r="B703" s="20"/>
      <c r="C703" s="20"/>
      <c r="D703" s="35"/>
      <c r="E703" s="20"/>
      <c r="F703" s="20"/>
      <c r="G703" s="20"/>
      <c r="H703" s="20"/>
      <c r="I703" s="20"/>
      <c r="J703" s="20"/>
      <c r="K703" s="20"/>
      <c r="L703" s="20"/>
      <c r="M703" s="20"/>
      <c r="N703" s="20"/>
      <c r="O703" s="20"/>
      <c r="P703" s="20"/>
      <c r="Q703" s="20"/>
      <c r="R703" s="20"/>
      <c r="S703" s="20"/>
      <c r="T703" s="20"/>
      <c r="U703" s="20"/>
      <c r="V703" s="20"/>
      <c r="W703" s="20"/>
      <c r="X703" s="20"/>
    </row>
    <row r="704" ht="12.0" customHeight="1">
      <c r="A704" s="20"/>
      <c r="B704" s="20"/>
      <c r="C704" s="20"/>
      <c r="D704" s="35"/>
      <c r="E704" s="20"/>
      <c r="F704" s="20"/>
      <c r="G704" s="20"/>
      <c r="H704" s="20"/>
      <c r="I704" s="20"/>
      <c r="J704" s="20"/>
      <c r="K704" s="20"/>
      <c r="L704" s="20"/>
      <c r="M704" s="20"/>
      <c r="N704" s="20"/>
      <c r="O704" s="20"/>
      <c r="P704" s="20"/>
      <c r="Q704" s="20"/>
      <c r="R704" s="20"/>
      <c r="S704" s="20"/>
      <c r="T704" s="20"/>
      <c r="U704" s="20"/>
      <c r="V704" s="20"/>
      <c r="W704" s="20"/>
      <c r="X704" s="20"/>
    </row>
    <row r="705" ht="12.0" customHeight="1">
      <c r="A705" s="20"/>
      <c r="B705" s="20"/>
      <c r="C705" s="20"/>
      <c r="D705" s="35"/>
      <c r="E705" s="20"/>
      <c r="F705" s="20"/>
      <c r="G705" s="20"/>
      <c r="H705" s="20"/>
      <c r="I705" s="20"/>
      <c r="J705" s="20"/>
      <c r="K705" s="20"/>
      <c r="L705" s="20"/>
      <c r="M705" s="20"/>
      <c r="N705" s="20"/>
      <c r="O705" s="20"/>
      <c r="P705" s="20"/>
      <c r="Q705" s="20"/>
      <c r="R705" s="20"/>
      <c r="S705" s="20"/>
      <c r="T705" s="20"/>
      <c r="U705" s="20"/>
      <c r="V705" s="20"/>
      <c r="W705" s="20"/>
      <c r="X705" s="20"/>
    </row>
    <row r="706" ht="12.0" customHeight="1">
      <c r="A706" s="20"/>
      <c r="B706" s="20"/>
      <c r="C706" s="20"/>
      <c r="D706" s="35"/>
      <c r="E706" s="20"/>
      <c r="F706" s="20"/>
      <c r="G706" s="20"/>
      <c r="H706" s="20"/>
      <c r="I706" s="20"/>
      <c r="J706" s="20"/>
      <c r="K706" s="20"/>
      <c r="L706" s="20"/>
      <c r="M706" s="20"/>
      <c r="N706" s="20"/>
      <c r="O706" s="20"/>
      <c r="P706" s="20"/>
      <c r="Q706" s="20"/>
      <c r="R706" s="20"/>
      <c r="S706" s="20"/>
      <c r="T706" s="20"/>
      <c r="U706" s="20"/>
      <c r="V706" s="20"/>
      <c r="W706" s="20"/>
      <c r="X706" s="20"/>
    </row>
    <row r="707" ht="12.0" customHeight="1">
      <c r="A707" s="20"/>
      <c r="B707" s="20"/>
      <c r="C707" s="20"/>
      <c r="D707" s="35"/>
      <c r="E707" s="20"/>
      <c r="F707" s="20"/>
      <c r="G707" s="20"/>
      <c r="H707" s="20"/>
      <c r="I707" s="20"/>
      <c r="J707" s="20"/>
      <c r="K707" s="20"/>
      <c r="L707" s="20"/>
      <c r="M707" s="20"/>
      <c r="N707" s="20"/>
      <c r="O707" s="20"/>
      <c r="P707" s="20"/>
      <c r="Q707" s="20"/>
      <c r="R707" s="20"/>
      <c r="S707" s="20"/>
      <c r="T707" s="20"/>
      <c r="U707" s="20"/>
      <c r="V707" s="20"/>
      <c r="W707" s="20"/>
      <c r="X707" s="20"/>
    </row>
    <row r="708" ht="12.0" customHeight="1">
      <c r="A708" s="20"/>
      <c r="B708" s="20"/>
      <c r="C708" s="20"/>
      <c r="D708" s="35"/>
      <c r="E708" s="20"/>
      <c r="F708" s="20"/>
      <c r="G708" s="20"/>
      <c r="H708" s="20"/>
      <c r="I708" s="20"/>
      <c r="J708" s="20"/>
      <c r="K708" s="20"/>
      <c r="L708" s="20"/>
      <c r="M708" s="20"/>
      <c r="N708" s="20"/>
      <c r="O708" s="20"/>
      <c r="P708" s="20"/>
      <c r="Q708" s="20"/>
      <c r="R708" s="20"/>
      <c r="S708" s="20"/>
      <c r="T708" s="20"/>
      <c r="U708" s="20"/>
      <c r="V708" s="20"/>
      <c r="W708" s="20"/>
      <c r="X708" s="20"/>
    </row>
    <row r="709" ht="12.0" customHeight="1">
      <c r="A709" s="20"/>
      <c r="B709" s="20"/>
      <c r="C709" s="20"/>
      <c r="D709" s="35"/>
      <c r="E709" s="20"/>
      <c r="F709" s="20"/>
      <c r="G709" s="20"/>
      <c r="H709" s="20"/>
      <c r="I709" s="20"/>
      <c r="J709" s="20"/>
      <c r="K709" s="20"/>
      <c r="L709" s="20"/>
      <c r="M709" s="20"/>
      <c r="N709" s="20"/>
      <c r="O709" s="20"/>
      <c r="P709" s="20"/>
      <c r="Q709" s="20"/>
      <c r="R709" s="20"/>
      <c r="S709" s="20"/>
      <c r="T709" s="20"/>
      <c r="U709" s="20"/>
      <c r="V709" s="20"/>
      <c r="W709" s="20"/>
      <c r="X709" s="20"/>
    </row>
    <row r="710" ht="12.0" customHeight="1">
      <c r="A710" s="20"/>
      <c r="B710" s="20"/>
      <c r="C710" s="20"/>
      <c r="D710" s="35"/>
      <c r="E710" s="20"/>
      <c r="F710" s="20"/>
      <c r="G710" s="20"/>
      <c r="H710" s="20"/>
      <c r="I710" s="20"/>
      <c r="J710" s="20"/>
      <c r="K710" s="20"/>
      <c r="L710" s="20"/>
      <c r="M710" s="20"/>
      <c r="N710" s="20"/>
      <c r="O710" s="20"/>
      <c r="P710" s="20"/>
      <c r="Q710" s="20"/>
      <c r="R710" s="20"/>
      <c r="S710" s="20"/>
      <c r="T710" s="20"/>
      <c r="U710" s="20"/>
      <c r="V710" s="20"/>
      <c r="W710" s="20"/>
      <c r="X710" s="20"/>
    </row>
    <row r="711" ht="12.0" customHeight="1">
      <c r="A711" s="20"/>
      <c r="B711" s="20"/>
      <c r="C711" s="20"/>
      <c r="D711" s="35"/>
      <c r="E711" s="20"/>
      <c r="F711" s="20"/>
      <c r="G711" s="20"/>
      <c r="H711" s="20"/>
      <c r="I711" s="20"/>
      <c r="J711" s="20"/>
      <c r="K711" s="20"/>
      <c r="L711" s="20"/>
      <c r="M711" s="20"/>
      <c r="N711" s="20"/>
      <c r="O711" s="20"/>
      <c r="P711" s="20"/>
      <c r="Q711" s="20"/>
      <c r="R711" s="20"/>
      <c r="S711" s="20"/>
      <c r="T711" s="20"/>
      <c r="U711" s="20"/>
      <c r="V711" s="20"/>
      <c r="W711" s="20"/>
      <c r="X711" s="20"/>
    </row>
    <row r="712" ht="12.0" customHeight="1">
      <c r="A712" s="20"/>
      <c r="B712" s="20"/>
      <c r="C712" s="20"/>
      <c r="D712" s="35"/>
      <c r="E712" s="20"/>
      <c r="F712" s="20"/>
      <c r="G712" s="20"/>
      <c r="H712" s="20"/>
      <c r="I712" s="20"/>
      <c r="J712" s="20"/>
      <c r="K712" s="20"/>
      <c r="L712" s="20"/>
      <c r="M712" s="20"/>
      <c r="N712" s="20"/>
      <c r="O712" s="20"/>
      <c r="P712" s="20"/>
      <c r="Q712" s="20"/>
      <c r="R712" s="20"/>
      <c r="S712" s="20"/>
      <c r="T712" s="20"/>
      <c r="U712" s="20"/>
      <c r="V712" s="20"/>
      <c r="W712" s="20"/>
      <c r="X712" s="20"/>
    </row>
    <row r="713" ht="12.0" customHeight="1">
      <c r="A713" s="20"/>
      <c r="B713" s="20"/>
      <c r="C713" s="20"/>
      <c r="D713" s="35"/>
      <c r="E713" s="20"/>
      <c r="F713" s="20"/>
      <c r="G713" s="20"/>
      <c r="H713" s="20"/>
      <c r="I713" s="20"/>
      <c r="J713" s="20"/>
      <c r="K713" s="20"/>
      <c r="L713" s="20"/>
      <c r="M713" s="20"/>
      <c r="N713" s="20"/>
      <c r="O713" s="20"/>
      <c r="P713" s="20"/>
      <c r="Q713" s="20"/>
      <c r="R713" s="20"/>
      <c r="S713" s="20"/>
      <c r="T713" s="20"/>
      <c r="U713" s="20"/>
      <c r="V713" s="20"/>
      <c r="W713" s="20"/>
      <c r="X713" s="20"/>
    </row>
    <row r="714" ht="12.0" customHeight="1">
      <c r="A714" s="20"/>
      <c r="B714" s="20"/>
      <c r="C714" s="20"/>
      <c r="D714" s="35"/>
      <c r="E714" s="20"/>
      <c r="F714" s="20"/>
      <c r="G714" s="20"/>
      <c r="H714" s="20"/>
      <c r="I714" s="20"/>
      <c r="J714" s="20"/>
      <c r="K714" s="20"/>
      <c r="L714" s="20"/>
      <c r="M714" s="20"/>
      <c r="N714" s="20"/>
      <c r="O714" s="20"/>
      <c r="P714" s="20"/>
      <c r="Q714" s="20"/>
      <c r="R714" s="20"/>
      <c r="S714" s="20"/>
      <c r="T714" s="20"/>
      <c r="U714" s="20"/>
      <c r="V714" s="20"/>
      <c r="W714" s="20"/>
      <c r="X714" s="20"/>
    </row>
    <row r="715" ht="12.0" customHeight="1">
      <c r="A715" s="20"/>
      <c r="B715" s="20"/>
      <c r="C715" s="20"/>
      <c r="D715" s="35"/>
      <c r="E715" s="20"/>
      <c r="F715" s="20"/>
      <c r="G715" s="20"/>
      <c r="H715" s="20"/>
      <c r="I715" s="20"/>
      <c r="J715" s="20"/>
      <c r="K715" s="20"/>
      <c r="L715" s="20"/>
      <c r="M715" s="20"/>
      <c r="N715" s="20"/>
      <c r="O715" s="20"/>
      <c r="P715" s="20"/>
      <c r="Q715" s="20"/>
      <c r="R715" s="20"/>
      <c r="S715" s="20"/>
      <c r="T715" s="20"/>
      <c r="U715" s="20"/>
      <c r="V715" s="20"/>
      <c r="W715" s="20"/>
      <c r="X715" s="20"/>
    </row>
    <row r="716" ht="12.0" customHeight="1">
      <c r="A716" s="20"/>
      <c r="B716" s="20"/>
      <c r="C716" s="20"/>
      <c r="D716" s="35"/>
      <c r="E716" s="20"/>
      <c r="F716" s="20"/>
      <c r="G716" s="20"/>
      <c r="H716" s="20"/>
      <c r="I716" s="20"/>
      <c r="J716" s="20"/>
      <c r="K716" s="20"/>
      <c r="L716" s="20"/>
      <c r="M716" s="20"/>
      <c r="N716" s="20"/>
      <c r="O716" s="20"/>
      <c r="P716" s="20"/>
      <c r="Q716" s="20"/>
      <c r="R716" s="20"/>
      <c r="S716" s="20"/>
      <c r="T716" s="20"/>
      <c r="U716" s="20"/>
      <c r="V716" s="20"/>
      <c r="W716" s="20"/>
      <c r="X716" s="20"/>
    </row>
    <row r="717" ht="12.0" customHeight="1">
      <c r="A717" s="20"/>
      <c r="B717" s="20"/>
      <c r="C717" s="20"/>
      <c r="D717" s="35"/>
      <c r="E717" s="20"/>
      <c r="F717" s="20"/>
      <c r="G717" s="20"/>
      <c r="H717" s="20"/>
      <c r="I717" s="20"/>
      <c r="J717" s="20"/>
      <c r="K717" s="20"/>
      <c r="L717" s="20"/>
      <c r="M717" s="20"/>
      <c r="N717" s="20"/>
      <c r="O717" s="20"/>
      <c r="P717" s="20"/>
      <c r="Q717" s="20"/>
      <c r="R717" s="20"/>
      <c r="S717" s="20"/>
      <c r="T717" s="20"/>
      <c r="U717" s="20"/>
      <c r="V717" s="20"/>
      <c r="W717" s="20"/>
      <c r="X717" s="20"/>
    </row>
    <row r="718" ht="12.0" customHeight="1">
      <c r="A718" s="20"/>
      <c r="B718" s="20"/>
      <c r="C718" s="20"/>
      <c r="D718" s="35"/>
      <c r="E718" s="20"/>
      <c r="F718" s="20"/>
      <c r="G718" s="20"/>
      <c r="H718" s="20"/>
      <c r="I718" s="20"/>
      <c r="J718" s="20"/>
      <c r="K718" s="20"/>
      <c r="L718" s="20"/>
      <c r="M718" s="20"/>
      <c r="N718" s="20"/>
      <c r="O718" s="20"/>
      <c r="P718" s="20"/>
      <c r="Q718" s="20"/>
      <c r="R718" s="20"/>
      <c r="S718" s="20"/>
      <c r="T718" s="20"/>
      <c r="U718" s="20"/>
      <c r="V718" s="20"/>
      <c r="W718" s="20"/>
      <c r="X718" s="20"/>
    </row>
    <row r="719" ht="12.0" customHeight="1">
      <c r="A719" s="20"/>
      <c r="B719" s="20"/>
      <c r="C719" s="20"/>
      <c r="D719" s="35"/>
      <c r="E719" s="20"/>
      <c r="F719" s="20"/>
      <c r="G719" s="20"/>
      <c r="H719" s="20"/>
      <c r="I719" s="20"/>
      <c r="J719" s="20"/>
      <c r="K719" s="20"/>
      <c r="L719" s="20"/>
      <c r="M719" s="20"/>
      <c r="N719" s="20"/>
      <c r="O719" s="20"/>
      <c r="P719" s="20"/>
      <c r="Q719" s="20"/>
      <c r="R719" s="20"/>
      <c r="S719" s="20"/>
      <c r="T719" s="20"/>
      <c r="U719" s="20"/>
      <c r="V719" s="20"/>
      <c r="W719" s="20"/>
      <c r="X719" s="20"/>
    </row>
    <row r="720" ht="12.0" customHeight="1">
      <c r="A720" s="20"/>
      <c r="B720" s="20"/>
      <c r="C720" s="20"/>
      <c r="D720" s="35"/>
      <c r="E720" s="20"/>
      <c r="F720" s="20"/>
      <c r="G720" s="20"/>
      <c r="H720" s="20"/>
      <c r="I720" s="20"/>
      <c r="J720" s="20"/>
      <c r="K720" s="20"/>
      <c r="L720" s="20"/>
      <c r="M720" s="20"/>
      <c r="N720" s="20"/>
      <c r="O720" s="20"/>
      <c r="P720" s="20"/>
      <c r="Q720" s="20"/>
      <c r="R720" s="20"/>
      <c r="S720" s="20"/>
      <c r="T720" s="20"/>
      <c r="U720" s="20"/>
      <c r="V720" s="20"/>
      <c r="W720" s="20"/>
      <c r="X720" s="20"/>
    </row>
    <row r="721" ht="12.0" customHeight="1">
      <c r="A721" s="20"/>
      <c r="B721" s="20"/>
      <c r="C721" s="20"/>
      <c r="D721" s="35"/>
      <c r="E721" s="20"/>
      <c r="F721" s="20"/>
      <c r="G721" s="20"/>
      <c r="H721" s="20"/>
      <c r="I721" s="20"/>
      <c r="J721" s="20"/>
      <c r="K721" s="20"/>
      <c r="L721" s="20"/>
      <c r="M721" s="20"/>
      <c r="N721" s="20"/>
      <c r="O721" s="20"/>
      <c r="P721" s="20"/>
      <c r="Q721" s="20"/>
      <c r="R721" s="20"/>
      <c r="S721" s="20"/>
      <c r="T721" s="20"/>
      <c r="U721" s="20"/>
      <c r="V721" s="20"/>
      <c r="W721" s="20"/>
      <c r="X721" s="20"/>
    </row>
    <row r="722" ht="12.0" customHeight="1">
      <c r="A722" s="20"/>
      <c r="B722" s="20"/>
      <c r="C722" s="20"/>
      <c r="D722" s="35"/>
      <c r="E722" s="20"/>
      <c r="F722" s="20"/>
      <c r="G722" s="20"/>
      <c r="H722" s="20"/>
      <c r="I722" s="20"/>
      <c r="J722" s="20"/>
      <c r="K722" s="20"/>
      <c r="L722" s="20"/>
      <c r="M722" s="20"/>
      <c r="N722" s="20"/>
      <c r="O722" s="20"/>
      <c r="P722" s="20"/>
      <c r="Q722" s="20"/>
      <c r="R722" s="20"/>
      <c r="S722" s="20"/>
      <c r="T722" s="20"/>
      <c r="U722" s="20"/>
      <c r="V722" s="20"/>
      <c r="W722" s="20"/>
      <c r="X722" s="20"/>
    </row>
    <row r="723" ht="12.0" customHeight="1">
      <c r="A723" s="20"/>
      <c r="B723" s="20"/>
      <c r="C723" s="20"/>
      <c r="D723" s="35"/>
      <c r="E723" s="20"/>
      <c r="F723" s="20"/>
      <c r="G723" s="20"/>
      <c r="H723" s="20"/>
      <c r="I723" s="20"/>
      <c r="J723" s="20"/>
      <c r="K723" s="20"/>
      <c r="L723" s="20"/>
      <c r="M723" s="20"/>
      <c r="N723" s="20"/>
      <c r="O723" s="20"/>
      <c r="P723" s="20"/>
      <c r="Q723" s="20"/>
      <c r="R723" s="20"/>
      <c r="S723" s="20"/>
      <c r="T723" s="20"/>
      <c r="U723" s="20"/>
      <c r="V723" s="20"/>
      <c r="W723" s="20"/>
      <c r="X723" s="20"/>
    </row>
    <row r="724" ht="12.0" customHeight="1">
      <c r="A724" s="20"/>
      <c r="B724" s="20"/>
      <c r="C724" s="20"/>
      <c r="D724" s="35"/>
      <c r="E724" s="20"/>
      <c r="F724" s="20"/>
      <c r="G724" s="20"/>
      <c r="H724" s="20"/>
      <c r="I724" s="20"/>
      <c r="J724" s="20"/>
      <c r="K724" s="20"/>
      <c r="L724" s="20"/>
      <c r="M724" s="20"/>
      <c r="N724" s="20"/>
      <c r="O724" s="20"/>
      <c r="P724" s="20"/>
      <c r="Q724" s="20"/>
      <c r="R724" s="20"/>
      <c r="S724" s="20"/>
      <c r="T724" s="20"/>
      <c r="U724" s="20"/>
      <c r="V724" s="20"/>
      <c r="W724" s="20"/>
      <c r="X724" s="20"/>
    </row>
    <row r="725" ht="12.0" customHeight="1">
      <c r="A725" s="20"/>
      <c r="B725" s="20"/>
      <c r="C725" s="20"/>
      <c r="D725" s="35"/>
      <c r="E725" s="20"/>
      <c r="F725" s="20"/>
      <c r="G725" s="20"/>
      <c r="H725" s="20"/>
      <c r="I725" s="20"/>
      <c r="J725" s="20"/>
      <c r="K725" s="20"/>
      <c r="L725" s="20"/>
      <c r="M725" s="20"/>
      <c r="N725" s="20"/>
      <c r="O725" s="20"/>
      <c r="P725" s="20"/>
      <c r="Q725" s="20"/>
      <c r="R725" s="20"/>
      <c r="S725" s="20"/>
      <c r="T725" s="20"/>
      <c r="U725" s="20"/>
      <c r="V725" s="20"/>
      <c r="W725" s="20"/>
      <c r="X725" s="20"/>
    </row>
    <row r="726" ht="12.0" customHeight="1">
      <c r="A726" s="20"/>
      <c r="B726" s="20"/>
      <c r="C726" s="20"/>
      <c r="D726" s="35"/>
      <c r="E726" s="20"/>
      <c r="F726" s="20"/>
      <c r="G726" s="20"/>
      <c r="H726" s="20"/>
      <c r="I726" s="20"/>
      <c r="J726" s="20"/>
      <c r="K726" s="20"/>
      <c r="L726" s="20"/>
      <c r="M726" s="20"/>
      <c r="N726" s="20"/>
      <c r="O726" s="20"/>
      <c r="P726" s="20"/>
      <c r="Q726" s="20"/>
      <c r="R726" s="20"/>
      <c r="S726" s="20"/>
      <c r="T726" s="20"/>
      <c r="U726" s="20"/>
      <c r="V726" s="20"/>
      <c r="W726" s="20"/>
      <c r="X726" s="20"/>
    </row>
    <row r="727" ht="12.0" customHeight="1">
      <c r="A727" s="20"/>
      <c r="B727" s="20"/>
      <c r="C727" s="20"/>
      <c r="D727" s="35"/>
      <c r="E727" s="20"/>
      <c r="F727" s="20"/>
      <c r="G727" s="20"/>
      <c r="H727" s="20"/>
      <c r="I727" s="20"/>
      <c r="J727" s="20"/>
      <c r="K727" s="20"/>
      <c r="L727" s="20"/>
      <c r="M727" s="20"/>
      <c r="N727" s="20"/>
      <c r="O727" s="20"/>
      <c r="P727" s="20"/>
      <c r="Q727" s="20"/>
      <c r="R727" s="20"/>
      <c r="S727" s="20"/>
      <c r="T727" s="20"/>
      <c r="U727" s="20"/>
      <c r="V727" s="20"/>
      <c r="W727" s="20"/>
      <c r="X727" s="20"/>
    </row>
    <row r="728" ht="12.0" customHeight="1">
      <c r="A728" s="20"/>
      <c r="B728" s="20"/>
      <c r="C728" s="20"/>
      <c r="D728" s="35"/>
      <c r="E728" s="20"/>
      <c r="F728" s="20"/>
      <c r="G728" s="20"/>
      <c r="H728" s="20"/>
      <c r="I728" s="20"/>
      <c r="J728" s="20"/>
      <c r="K728" s="20"/>
      <c r="L728" s="20"/>
      <c r="M728" s="20"/>
      <c r="N728" s="20"/>
      <c r="O728" s="20"/>
      <c r="P728" s="20"/>
      <c r="Q728" s="20"/>
      <c r="R728" s="20"/>
      <c r="S728" s="20"/>
      <c r="T728" s="20"/>
      <c r="U728" s="20"/>
      <c r="V728" s="20"/>
      <c r="W728" s="20"/>
      <c r="X728" s="20"/>
    </row>
    <row r="729" ht="12.0" customHeight="1">
      <c r="A729" s="20"/>
      <c r="B729" s="20"/>
      <c r="C729" s="20"/>
      <c r="D729" s="35"/>
      <c r="E729" s="20"/>
      <c r="F729" s="20"/>
      <c r="G729" s="20"/>
      <c r="H729" s="20"/>
      <c r="I729" s="20"/>
      <c r="J729" s="20"/>
      <c r="K729" s="20"/>
      <c r="L729" s="20"/>
      <c r="M729" s="20"/>
      <c r="N729" s="20"/>
      <c r="O729" s="20"/>
      <c r="P729" s="20"/>
      <c r="Q729" s="20"/>
      <c r="R729" s="20"/>
      <c r="S729" s="20"/>
      <c r="T729" s="20"/>
      <c r="U729" s="20"/>
      <c r="V729" s="20"/>
      <c r="W729" s="20"/>
      <c r="X729" s="20"/>
    </row>
    <row r="730" ht="12.0" customHeight="1">
      <c r="A730" s="20"/>
      <c r="B730" s="20"/>
      <c r="C730" s="20"/>
      <c r="D730" s="35"/>
      <c r="E730" s="20"/>
      <c r="F730" s="20"/>
      <c r="G730" s="20"/>
      <c r="H730" s="20"/>
      <c r="I730" s="20"/>
      <c r="J730" s="20"/>
      <c r="K730" s="20"/>
      <c r="L730" s="20"/>
      <c r="M730" s="20"/>
      <c r="N730" s="20"/>
      <c r="O730" s="20"/>
      <c r="P730" s="20"/>
      <c r="Q730" s="20"/>
      <c r="R730" s="20"/>
      <c r="S730" s="20"/>
      <c r="T730" s="20"/>
      <c r="U730" s="20"/>
      <c r="V730" s="20"/>
      <c r="W730" s="20"/>
      <c r="X730" s="20"/>
    </row>
    <row r="731" ht="12.0" customHeight="1">
      <c r="A731" s="20"/>
      <c r="B731" s="20"/>
      <c r="C731" s="20"/>
      <c r="D731" s="35"/>
      <c r="E731" s="20"/>
      <c r="F731" s="20"/>
      <c r="G731" s="20"/>
      <c r="H731" s="20"/>
      <c r="I731" s="20"/>
      <c r="J731" s="20"/>
      <c r="K731" s="20"/>
      <c r="L731" s="20"/>
      <c r="M731" s="20"/>
      <c r="N731" s="20"/>
      <c r="O731" s="20"/>
      <c r="P731" s="20"/>
      <c r="Q731" s="20"/>
      <c r="R731" s="20"/>
      <c r="S731" s="20"/>
      <c r="T731" s="20"/>
      <c r="U731" s="20"/>
      <c r="V731" s="20"/>
      <c r="W731" s="20"/>
      <c r="X731" s="20"/>
    </row>
    <row r="732" ht="12.0" customHeight="1">
      <c r="A732" s="20"/>
      <c r="B732" s="20"/>
      <c r="C732" s="20"/>
      <c r="D732" s="35"/>
      <c r="E732" s="20"/>
      <c r="F732" s="20"/>
      <c r="G732" s="20"/>
      <c r="H732" s="20"/>
      <c r="I732" s="20"/>
      <c r="J732" s="20"/>
      <c r="K732" s="20"/>
      <c r="L732" s="20"/>
      <c r="M732" s="20"/>
      <c r="N732" s="20"/>
      <c r="O732" s="20"/>
      <c r="P732" s="20"/>
      <c r="Q732" s="20"/>
      <c r="R732" s="20"/>
      <c r="S732" s="20"/>
      <c r="T732" s="20"/>
      <c r="U732" s="20"/>
      <c r="V732" s="20"/>
      <c r="W732" s="20"/>
      <c r="X732" s="20"/>
    </row>
    <row r="733" ht="12.0" customHeight="1">
      <c r="A733" s="20"/>
      <c r="B733" s="20"/>
      <c r="C733" s="20"/>
      <c r="D733" s="35"/>
      <c r="E733" s="20"/>
      <c r="F733" s="20"/>
      <c r="G733" s="20"/>
      <c r="H733" s="20"/>
      <c r="I733" s="20"/>
      <c r="J733" s="20"/>
      <c r="K733" s="20"/>
      <c r="L733" s="20"/>
      <c r="M733" s="20"/>
      <c r="N733" s="20"/>
      <c r="O733" s="20"/>
      <c r="P733" s="20"/>
      <c r="Q733" s="20"/>
      <c r="R733" s="20"/>
      <c r="S733" s="20"/>
      <c r="T733" s="20"/>
      <c r="U733" s="20"/>
      <c r="V733" s="20"/>
      <c r="W733" s="20"/>
      <c r="X733" s="20"/>
    </row>
    <row r="734" ht="12.0" customHeight="1">
      <c r="A734" s="20"/>
      <c r="B734" s="20"/>
      <c r="C734" s="20"/>
      <c r="D734" s="35"/>
      <c r="E734" s="20"/>
      <c r="F734" s="20"/>
      <c r="G734" s="20"/>
      <c r="H734" s="20"/>
      <c r="I734" s="20"/>
      <c r="J734" s="20"/>
      <c r="K734" s="20"/>
      <c r="L734" s="20"/>
      <c r="M734" s="20"/>
      <c r="N734" s="20"/>
      <c r="O734" s="20"/>
      <c r="P734" s="20"/>
      <c r="Q734" s="20"/>
      <c r="R734" s="20"/>
      <c r="S734" s="20"/>
      <c r="T734" s="20"/>
      <c r="U734" s="20"/>
      <c r="V734" s="20"/>
      <c r="W734" s="20"/>
      <c r="X734" s="20"/>
    </row>
    <row r="735" ht="12.0" customHeight="1">
      <c r="A735" s="20"/>
      <c r="B735" s="20"/>
      <c r="C735" s="20"/>
      <c r="D735" s="35"/>
      <c r="E735" s="20"/>
      <c r="F735" s="20"/>
      <c r="G735" s="20"/>
      <c r="H735" s="20"/>
      <c r="I735" s="20"/>
      <c r="J735" s="20"/>
      <c r="K735" s="20"/>
      <c r="L735" s="20"/>
      <c r="M735" s="20"/>
      <c r="N735" s="20"/>
      <c r="O735" s="20"/>
      <c r="P735" s="20"/>
      <c r="Q735" s="20"/>
      <c r="R735" s="20"/>
      <c r="S735" s="20"/>
      <c r="T735" s="20"/>
      <c r="U735" s="20"/>
      <c r="V735" s="20"/>
      <c r="W735" s="20"/>
      <c r="X735" s="20"/>
    </row>
    <row r="736" ht="12.0" customHeight="1">
      <c r="A736" s="20"/>
      <c r="B736" s="20"/>
      <c r="C736" s="20"/>
      <c r="D736" s="35"/>
      <c r="E736" s="20"/>
      <c r="F736" s="20"/>
      <c r="G736" s="20"/>
      <c r="H736" s="20"/>
      <c r="I736" s="20"/>
      <c r="J736" s="20"/>
      <c r="K736" s="20"/>
      <c r="L736" s="20"/>
      <c r="M736" s="20"/>
      <c r="N736" s="20"/>
      <c r="O736" s="20"/>
      <c r="P736" s="20"/>
      <c r="Q736" s="20"/>
      <c r="R736" s="20"/>
      <c r="S736" s="20"/>
      <c r="T736" s="20"/>
      <c r="U736" s="20"/>
      <c r="V736" s="20"/>
      <c r="W736" s="20"/>
      <c r="X736" s="20"/>
    </row>
    <row r="737" ht="12.0" customHeight="1">
      <c r="A737" s="20"/>
      <c r="B737" s="20"/>
      <c r="C737" s="20"/>
      <c r="D737" s="35"/>
      <c r="E737" s="20"/>
      <c r="F737" s="20"/>
      <c r="G737" s="20"/>
      <c r="H737" s="20"/>
      <c r="I737" s="20"/>
      <c r="J737" s="20"/>
      <c r="K737" s="20"/>
      <c r="L737" s="20"/>
      <c r="M737" s="20"/>
      <c r="N737" s="20"/>
      <c r="O737" s="20"/>
      <c r="P737" s="20"/>
      <c r="Q737" s="20"/>
      <c r="R737" s="20"/>
      <c r="S737" s="20"/>
      <c r="T737" s="20"/>
      <c r="U737" s="20"/>
      <c r="V737" s="20"/>
      <c r="W737" s="20"/>
      <c r="X737" s="20"/>
    </row>
    <row r="738" ht="12.0" customHeight="1">
      <c r="A738" s="20"/>
      <c r="B738" s="20"/>
      <c r="C738" s="20"/>
      <c r="D738" s="35"/>
      <c r="E738" s="20"/>
      <c r="F738" s="20"/>
      <c r="G738" s="20"/>
      <c r="H738" s="20"/>
      <c r="I738" s="20"/>
      <c r="J738" s="20"/>
      <c r="K738" s="20"/>
      <c r="L738" s="20"/>
      <c r="M738" s="20"/>
      <c r="N738" s="20"/>
      <c r="O738" s="20"/>
      <c r="P738" s="20"/>
      <c r="Q738" s="20"/>
      <c r="R738" s="20"/>
      <c r="S738" s="20"/>
      <c r="T738" s="20"/>
      <c r="U738" s="20"/>
      <c r="V738" s="20"/>
      <c r="W738" s="20"/>
      <c r="X738" s="20"/>
    </row>
    <row r="739" ht="12.0" customHeight="1">
      <c r="A739" s="20"/>
      <c r="B739" s="20"/>
      <c r="C739" s="20"/>
      <c r="D739" s="35"/>
      <c r="E739" s="20"/>
      <c r="F739" s="20"/>
      <c r="G739" s="20"/>
      <c r="H739" s="20"/>
      <c r="I739" s="20"/>
      <c r="J739" s="20"/>
      <c r="K739" s="20"/>
      <c r="L739" s="20"/>
      <c r="M739" s="20"/>
      <c r="N739" s="20"/>
      <c r="O739" s="20"/>
      <c r="P739" s="20"/>
      <c r="Q739" s="20"/>
      <c r="R739" s="20"/>
      <c r="S739" s="20"/>
      <c r="T739" s="20"/>
      <c r="U739" s="20"/>
      <c r="V739" s="20"/>
      <c r="W739" s="20"/>
      <c r="X739" s="20"/>
    </row>
    <row r="740" ht="12.0" customHeight="1">
      <c r="A740" s="20"/>
      <c r="B740" s="20"/>
      <c r="C740" s="20"/>
      <c r="D740" s="35"/>
      <c r="E740" s="20"/>
      <c r="F740" s="20"/>
      <c r="G740" s="20"/>
      <c r="H740" s="20"/>
      <c r="I740" s="20"/>
      <c r="J740" s="20"/>
      <c r="K740" s="20"/>
      <c r="L740" s="20"/>
      <c r="M740" s="20"/>
      <c r="N740" s="20"/>
      <c r="O740" s="20"/>
      <c r="P740" s="20"/>
      <c r="Q740" s="20"/>
      <c r="R740" s="20"/>
      <c r="S740" s="20"/>
      <c r="T740" s="20"/>
      <c r="U740" s="20"/>
      <c r="V740" s="20"/>
      <c r="W740" s="20"/>
      <c r="X740" s="20"/>
    </row>
    <row r="741" ht="12.0" customHeight="1">
      <c r="A741" s="20"/>
      <c r="B741" s="20"/>
      <c r="C741" s="20"/>
      <c r="D741" s="35"/>
      <c r="E741" s="20"/>
      <c r="F741" s="20"/>
      <c r="G741" s="20"/>
      <c r="H741" s="20"/>
      <c r="I741" s="20"/>
      <c r="J741" s="20"/>
      <c r="K741" s="20"/>
      <c r="L741" s="20"/>
      <c r="M741" s="20"/>
      <c r="N741" s="20"/>
      <c r="O741" s="20"/>
      <c r="P741" s="20"/>
      <c r="Q741" s="20"/>
      <c r="R741" s="20"/>
      <c r="S741" s="20"/>
      <c r="T741" s="20"/>
      <c r="U741" s="20"/>
      <c r="V741" s="20"/>
      <c r="W741" s="20"/>
      <c r="X741" s="20"/>
    </row>
    <row r="742" ht="12.0" customHeight="1">
      <c r="A742" s="20"/>
      <c r="B742" s="20"/>
      <c r="C742" s="20"/>
      <c r="D742" s="35"/>
      <c r="E742" s="20"/>
      <c r="F742" s="20"/>
      <c r="G742" s="20"/>
      <c r="H742" s="20"/>
      <c r="I742" s="20"/>
      <c r="J742" s="20"/>
      <c r="K742" s="20"/>
      <c r="L742" s="20"/>
      <c r="M742" s="20"/>
      <c r="N742" s="20"/>
      <c r="O742" s="20"/>
      <c r="P742" s="20"/>
      <c r="Q742" s="20"/>
      <c r="R742" s="20"/>
      <c r="S742" s="20"/>
      <c r="T742" s="20"/>
      <c r="U742" s="20"/>
      <c r="V742" s="20"/>
      <c r="W742" s="20"/>
      <c r="X742" s="20"/>
    </row>
    <row r="743" ht="12.0" customHeight="1">
      <c r="A743" s="20"/>
      <c r="B743" s="20"/>
      <c r="C743" s="20"/>
      <c r="D743" s="35"/>
      <c r="E743" s="20"/>
      <c r="F743" s="20"/>
      <c r="G743" s="20"/>
      <c r="H743" s="20"/>
      <c r="I743" s="20"/>
      <c r="J743" s="20"/>
      <c r="K743" s="20"/>
      <c r="L743" s="20"/>
      <c r="M743" s="20"/>
      <c r="N743" s="20"/>
      <c r="O743" s="20"/>
      <c r="P743" s="20"/>
      <c r="Q743" s="20"/>
      <c r="R743" s="20"/>
      <c r="S743" s="20"/>
      <c r="T743" s="20"/>
      <c r="U743" s="20"/>
      <c r="V743" s="20"/>
      <c r="W743" s="20"/>
      <c r="X743" s="20"/>
    </row>
    <row r="744" ht="12.0" customHeight="1">
      <c r="A744" s="20"/>
      <c r="B744" s="20"/>
      <c r="C744" s="20"/>
      <c r="D744" s="35"/>
      <c r="E744" s="20"/>
      <c r="F744" s="20"/>
      <c r="G744" s="20"/>
      <c r="H744" s="20"/>
      <c r="I744" s="20"/>
      <c r="J744" s="20"/>
      <c r="K744" s="20"/>
      <c r="L744" s="20"/>
      <c r="M744" s="20"/>
      <c r="N744" s="20"/>
      <c r="O744" s="20"/>
      <c r="P744" s="20"/>
      <c r="Q744" s="20"/>
      <c r="R744" s="20"/>
      <c r="S744" s="20"/>
      <c r="T744" s="20"/>
      <c r="U744" s="20"/>
      <c r="V744" s="20"/>
      <c r="W744" s="20"/>
      <c r="X744" s="20"/>
    </row>
    <row r="745" ht="12.0" customHeight="1">
      <c r="A745" s="20"/>
      <c r="B745" s="20"/>
      <c r="C745" s="20"/>
      <c r="D745" s="35"/>
      <c r="E745" s="20"/>
      <c r="F745" s="20"/>
      <c r="G745" s="20"/>
      <c r="H745" s="20"/>
      <c r="I745" s="20"/>
      <c r="J745" s="20"/>
      <c r="K745" s="20"/>
      <c r="L745" s="20"/>
      <c r="M745" s="20"/>
      <c r="N745" s="20"/>
      <c r="O745" s="20"/>
      <c r="P745" s="20"/>
      <c r="Q745" s="20"/>
      <c r="R745" s="20"/>
      <c r="S745" s="20"/>
      <c r="T745" s="20"/>
      <c r="U745" s="20"/>
      <c r="V745" s="20"/>
      <c r="W745" s="20"/>
      <c r="X745" s="20"/>
    </row>
    <row r="746" ht="12.0" customHeight="1">
      <c r="A746" s="20"/>
      <c r="B746" s="20"/>
      <c r="C746" s="20"/>
      <c r="D746" s="35"/>
      <c r="E746" s="20"/>
      <c r="F746" s="20"/>
      <c r="G746" s="20"/>
      <c r="H746" s="20"/>
      <c r="I746" s="20"/>
      <c r="J746" s="20"/>
      <c r="K746" s="20"/>
      <c r="L746" s="20"/>
      <c r="M746" s="20"/>
      <c r="N746" s="20"/>
      <c r="O746" s="20"/>
      <c r="P746" s="20"/>
      <c r="Q746" s="20"/>
      <c r="R746" s="20"/>
      <c r="S746" s="20"/>
      <c r="T746" s="20"/>
      <c r="U746" s="20"/>
      <c r="V746" s="20"/>
      <c r="W746" s="20"/>
      <c r="X746" s="20"/>
    </row>
    <row r="747" ht="12.0" customHeight="1">
      <c r="A747" s="20"/>
      <c r="B747" s="20"/>
      <c r="C747" s="20"/>
      <c r="D747" s="35"/>
      <c r="E747" s="20"/>
      <c r="F747" s="20"/>
      <c r="G747" s="20"/>
      <c r="H747" s="20"/>
      <c r="I747" s="20"/>
      <c r="J747" s="20"/>
      <c r="K747" s="20"/>
      <c r="L747" s="20"/>
      <c r="M747" s="20"/>
      <c r="N747" s="20"/>
      <c r="O747" s="20"/>
      <c r="P747" s="20"/>
      <c r="Q747" s="20"/>
      <c r="R747" s="20"/>
      <c r="S747" s="20"/>
      <c r="T747" s="20"/>
      <c r="U747" s="20"/>
      <c r="V747" s="20"/>
      <c r="W747" s="20"/>
      <c r="X747" s="20"/>
    </row>
    <row r="748" ht="12.0" customHeight="1">
      <c r="A748" s="20"/>
      <c r="B748" s="20"/>
      <c r="C748" s="20"/>
      <c r="D748" s="35"/>
      <c r="E748" s="20"/>
      <c r="F748" s="20"/>
      <c r="G748" s="20"/>
      <c r="H748" s="20"/>
      <c r="I748" s="20"/>
      <c r="J748" s="20"/>
      <c r="K748" s="20"/>
      <c r="L748" s="20"/>
      <c r="M748" s="20"/>
      <c r="N748" s="20"/>
      <c r="O748" s="20"/>
      <c r="P748" s="20"/>
      <c r="Q748" s="20"/>
      <c r="R748" s="20"/>
      <c r="S748" s="20"/>
      <c r="T748" s="20"/>
      <c r="U748" s="20"/>
      <c r="V748" s="20"/>
      <c r="W748" s="20"/>
      <c r="X748" s="20"/>
    </row>
    <row r="749" ht="12.0" customHeight="1">
      <c r="A749" s="20"/>
      <c r="B749" s="20"/>
      <c r="C749" s="20"/>
      <c r="D749" s="35"/>
      <c r="E749" s="20"/>
      <c r="F749" s="20"/>
      <c r="G749" s="20"/>
      <c r="H749" s="20"/>
      <c r="I749" s="20"/>
      <c r="J749" s="20"/>
      <c r="K749" s="20"/>
      <c r="L749" s="20"/>
      <c r="M749" s="20"/>
      <c r="N749" s="20"/>
      <c r="O749" s="20"/>
      <c r="P749" s="20"/>
      <c r="Q749" s="20"/>
      <c r="R749" s="20"/>
      <c r="S749" s="20"/>
      <c r="T749" s="20"/>
      <c r="U749" s="20"/>
      <c r="V749" s="20"/>
      <c r="W749" s="20"/>
      <c r="X749" s="20"/>
    </row>
    <row r="750" ht="12.0" customHeight="1">
      <c r="A750" s="20"/>
      <c r="B750" s="20"/>
      <c r="C750" s="20"/>
      <c r="D750" s="35"/>
      <c r="E750" s="20"/>
      <c r="F750" s="20"/>
      <c r="G750" s="20"/>
      <c r="H750" s="20"/>
      <c r="I750" s="20"/>
      <c r="J750" s="20"/>
      <c r="K750" s="20"/>
      <c r="L750" s="20"/>
      <c r="M750" s="20"/>
      <c r="N750" s="20"/>
      <c r="O750" s="20"/>
      <c r="P750" s="20"/>
      <c r="Q750" s="20"/>
      <c r="R750" s="20"/>
      <c r="S750" s="20"/>
      <c r="T750" s="20"/>
      <c r="U750" s="20"/>
      <c r="V750" s="20"/>
      <c r="W750" s="20"/>
      <c r="X750" s="20"/>
    </row>
    <row r="751" ht="12.0" customHeight="1">
      <c r="A751" s="20"/>
      <c r="B751" s="20"/>
      <c r="C751" s="20"/>
      <c r="D751" s="35"/>
      <c r="E751" s="20"/>
      <c r="F751" s="20"/>
      <c r="G751" s="20"/>
      <c r="H751" s="20"/>
      <c r="I751" s="20"/>
      <c r="J751" s="20"/>
      <c r="K751" s="20"/>
      <c r="L751" s="20"/>
      <c r="M751" s="20"/>
      <c r="N751" s="20"/>
      <c r="O751" s="20"/>
      <c r="P751" s="20"/>
      <c r="Q751" s="20"/>
      <c r="R751" s="20"/>
      <c r="S751" s="20"/>
      <c r="T751" s="20"/>
      <c r="U751" s="20"/>
      <c r="V751" s="20"/>
      <c r="W751" s="20"/>
      <c r="X751" s="20"/>
    </row>
    <row r="752" ht="12.0" customHeight="1">
      <c r="A752" s="20"/>
      <c r="B752" s="20"/>
      <c r="C752" s="20"/>
      <c r="D752" s="35"/>
      <c r="E752" s="20"/>
      <c r="F752" s="20"/>
      <c r="G752" s="20"/>
      <c r="H752" s="20"/>
      <c r="I752" s="20"/>
      <c r="J752" s="20"/>
      <c r="K752" s="20"/>
      <c r="L752" s="20"/>
      <c r="M752" s="20"/>
      <c r="N752" s="20"/>
      <c r="O752" s="20"/>
      <c r="P752" s="20"/>
      <c r="Q752" s="20"/>
      <c r="R752" s="20"/>
      <c r="S752" s="20"/>
      <c r="T752" s="20"/>
      <c r="U752" s="20"/>
      <c r="V752" s="20"/>
      <c r="W752" s="20"/>
      <c r="X752" s="20"/>
    </row>
    <row r="753" ht="12.0" customHeight="1">
      <c r="A753" s="20"/>
      <c r="B753" s="20"/>
      <c r="C753" s="20"/>
      <c r="D753" s="35"/>
      <c r="E753" s="20"/>
      <c r="F753" s="20"/>
      <c r="G753" s="20"/>
      <c r="H753" s="20"/>
      <c r="I753" s="20"/>
      <c r="J753" s="20"/>
      <c r="K753" s="20"/>
      <c r="L753" s="20"/>
      <c r="M753" s="20"/>
      <c r="N753" s="20"/>
      <c r="O753" s="20"/>
      <c r="P753" s="20"/>
      <c r="Q753" s="20"/>
      <c r="R753" s="20"/>
      <c r="S753" s="20"/>
      <c r="T753" s="20"/>
      <c r="U753" s="20"/>
      <c r="V753" s="20"/>
      <c r="W753" s="20"/>
      <c r="X753" s="20"/>
    </row>
    <row r="754" ht="12.0" customHeight="1">
      <c r="A754" s="20"/>
      <c r="B754" s="20"/>
      <c r="C754" s="20"/>
      <c r="D754" s="35"/>
      <c r="E754" s="20"/>
      <c r="F754" s="20"/>
      <c r="G754" s="20"/>
      <c r="H754" s="20"/>
      <c r="I754" s="20"/>
      <c r="J754" s="20"/>
      <c r="K754" s="20"/>
      <c r="L754" s="20"/>
      <c r="M754" s="20"/>
      <c r="N754" s="20"/>
      <c r="O754" s="20"/>
      <c r="P754" s="20"/>
      <c r="Q754" s="20"/>
      <c r="R754" s="20"/>
      <c r="S754" s="20"/>
      <c r="T754" s="20"/>
      <c r="U754" s="20"/>
      <c r="V754" s="20"/>
      <c r="W754" s="20"/>
      <c r="X754" s="20"/>
    </row>
    <row r="755" ht="12.0" customHeight="1">
      <c r="A755" s="20"/>
      <c r="B755" s="20"/>
      <c r="C755" s="20"/>
      <c r="D755" s="35"/>
      <c r="E755" s="20"/>
      <c r="F755" s="20"/>
      <c r="G755" s="20"/>
      <c r="H755" s="20"/>
      <c r="I755" s="20"/>
      <c r="J755" s="20"/>
      <c r="K755" s="20"/>
      <c r="L755" s="20"/>
      <c r="M755" s="20"/>
      <c r="N755" s="20"/>
      <c r="O755" s="20"/>
      <c r="P755" s="20"/>
      <c r="Q755" s="20"/>
      <c r="R755" s="20"/>
      <c r="S755" s="20"/>
      <c r="T755" s="20"/>
      <c r="U755" s="20"/>
      <c r="V755" s="20"/>
      <c r="W755" s="20"/>
      <c r="X755" s="20"/>
    </row>
    <row r="756" ht="12.0" customHeight="1">
      <c r="A756" s="20"/>
      <c r="B756" s="20"/>
      <c r="C756" s="20"/>
      <c r="D756" s="35"/>
      <c r="E756" s="20"/>
      <c r="F756" s="20"/>
      <c r="G756" s="20"/>
      <c r="H756" s="20"/>
      <c r="I756" s="20"/>
      <c r="J756" s="20"/>
      <c r="K756" s="20"/>
      <c r="L756" s="20"/>
      <c r="M756" s="20"/>
      <c r="N756" s="20"/>
      <c r="O756" s="20"/>
      <c r="P756" s="20"/>
      <c r="Q756" s="20"/>
      <c r="R756" s="20"/>
      <c r="S756" s="20"/>
      <c r="T756" s="20"/>
      <c r="U756" s="20"/>
      <c r="V756" s="20"/>
      <c r="W756" s="20"/>
      <c r="X756" s="20"/>
    </row>
    <row r="757" ht="12.0" customHeight="1">
      <c r="A757" s="20"/>
      <c r="B757" s="20"/>
      <c r="C757" s="20"/>
      <c r="D757" s="35"/>
      <c r="E757" s="20"/>
      <c r="F757" s="20"/>
      <c r="G757" s="20"/>
      <c r="H757" s="20"/>
      <c r="I757" s="20"/>
      <c r="J757" s="20"/>
      <c r="K757" s="20"/>
      <c r="L757" s="20"/>
      <c r="M757" s="20"/>
      <c r="N757" s="20"/>
      <c r="O757" s="20"/>
      <c r="P757" s="20"/>
      <c r="Q757" s="20"/>
      <c r="R757" s="20"/>
      <c r="S757" s="20"/>
      <c r="T757" s="20"/>
      <c r="U757" s="20"/>
      <c r="V757" s="20"/>
      <c r="W757" s="20"/>
      <c r="X757" s="20"/>
    </row>
    <row r="758" ht="12.0" customHeight="1">
      <c r="A758" s="20"/>
      <c r="B758" s="20"/>
      <c r="C758" s="20"/>
      <c r="D758" s="35"/>
      <c r="E758" s="20"/>
      <c r="F758" s="20"/>
      <c r="G758" s="20"/>
      <c r="H758" s="20"/>
      <c r="I758" s="20"/>
      <c r="J758" s="20"/>
      <c r="K758" s="20"/>
      <c r="L758" s="20"/>
      <c r="M758" s="20"/>
      <c r="N758" s="20"/>
      <c r="O758" s="20"/>
      <c r="P758" s="20"/>
      <c r="Q758" s="20"/>
      <c r="R758" s="20"/>
      <c r="S758" s="20"/>
      <c r="T758" s="20"/>
      <c r="U758" s="20"/>
      <c r="V758" s="20"/>
      <c r="W758" s="20"/>
      <c r="X758" s="20"/>
    </row>
    <row r="759" ht="12.0" customHeight="1">
      <c r="A759" s="20"/>
      <c r="B759" s="20"/>
      <c r="C759" s="20"/>
      <c r="D759" s="35"/>
      <c r="E759" s="20"/>
      <c r="F759" s="20"/>
      <c r="G759" s="20"/>
      <c r="H759" s="20"/>
      <c r="I759" s="20"/>
      <c r="J759" s="20"/>
      <c r="K759" s="20"/>
      <c r="L759" s="20"/>
      <c r="M759" s="20"/>
      <c r="N759" s="20"/>
      <c r="O759" s="20"/>
      <c r="P759" s="20"/>
      <c r="Q759" s="20"/>
      <c r="R759" s="20"/>
      <c r="S759" s="20"/>
      <c r="T759" s="20"/>
      <c r="U759" s="20"/>
      <c r="V759" s="20"/>
      <c r="W759" s="20"/>
      <c r="X759" s="20"/>
    </row>
    <row r="760" ht="12.0" customHeight="1">
      <c r="A760" s="20"/>
      <c r="B760" s="20"/>
      <c r="C760" s="20"/>
      <c r="D760" s="35"/>
      <c r="E760" s="20"/>
      <c r="F760" s="20"/>
      <c r="G760" s="20"/>
      <c r="H760" s="20"/>
      <c r="I760" s="20"/>
      <c r="J760" s="20"/>
      <c r="K760" s="20"/>
      <c r="L760" s="20"/>
      <c r="M760" s="20"/>
      <c r="N760" s="20"/>
      <c r="O760" s="20"/>
      <c r="P760" s="20"/>
      <c r="Q760" s="20"/>
      <c r="R760" s="20"/>
      <c r="S760" s="20"/>
      <c r="T760" s="20"/>
      <c r="U760" s="20"/>
      <c r="V760" s="20"/>
      <c r="W760" s="20"/>
      <c r="X760" s="20"/>
    </row>
    <row r="761" ht="12.0" customHeight="1">
      <c r="A761" s="20"/>
      <c r="B761" s="20"/>
      <c r="C761" s="20"/>
      <c r="D761" s="35"/>
      <c r="E761" s="20"/>
      <c r="F761" s="20"/>
      <c r="G761" s="20"/>
      <c r="H761" s="20"/>
      <c r="I761" s="20"/>
      <c r="J761" s="20"/>
      <c r="K761" s="20"/>
      <c r="L761" s="20"/>
      <c r="M761" s="20"/>
      <c r="N761" s="20"/>
      <c r="O761" s="20"/>
      <c r="P761" s="20"/>
      <c r="Q761" s="20"/>
      <c r="R761" s="20"/>
      <c r="S761" s="20"/>
      <c r="T761" s="20"/>
      <c r="U761" s="20"/>
      <c r="V761" s="20"/>
      <c r="W761" s="20"/>
      <c r="X761" s="20"/>
    </row>
    <row r="762" ht="12.0" customHeight="1">
      <c r="A762" s="20"/>
      <c r="B762" s="20"/>
      <c r="C762" s="20"/>
      <c r="D762" s="35"/>
      <c r="E762" s="20"/>
      <c r="F762" s="20"/>
      <c r="G762" s="20"/>
      <c r="H762" s="20"/>
      <c r="I762" s="20"/>
      <c r="J762" s="20"/>
      <c r="K762" s="20"/>
      <c r="L762" s="20"/>
      <c r="M762" s="20"/>
      <c r="N762" s="20"/>
      <c r="O762" s="20"/>
      <c r="P762" s="20"/>
      <c r="Q762" s="20"/>
      <c r="R762" s="20"/>
      <c r="S762" s="20"/>
      <c r="T762" s="20"/>
      <c r="U762" s="20"/>
      <c r="V762" s="20"/>
      <c r="W762" s="20"/>
      <c r="X762" s="20"/>
    </row>
    <row r="763" ht="12.0" customHeight="1">
      <c r="A763" s="20"/>
      <c r="B763" s="20"/>
      <c r="C763" s="20"/>
      <c r="D763" s="35"/>
      <c r="E763" s="20"/>
      <c r="F763" s="20"/>
      <c r="G763" s="20"/>
      <c r="H763" s="20"/>
      <c r="I763" s="20"/>
      <c r="J763" s="20"/>
      <c r="K763" s="20"/>
      <c r="L763" s="20"/>
      <c r="M763" s="20"/>
      <c r="N763" s="20"/>
      <c r="O763" s="20"/>
      <c r="P763" s="20"/>
      <c r="Q763" s="20"/>
      <c r="R763" s="20"/>
      <c r="S763" s="20"/>
      <c r="T763" s="20"/>
      <c r="U763" s="20"/>
      <c r="V763" s="20"/>
      <c r="W763" s="20"/>
      <c r="X763" s="20"/>
    </row>
    <row r="764" ht="12.0" customHeight="1">
      <c r="A764" s="20"/>
      <c r="B764" s="20"/>
      <c r="C764" s="20"/>
      <c r="D764" s="35"/>
      <c r="E764" s="20"/>
      <c r="F764" s="20"/>
      <c r="G764" s="20"/>
      <c r="H764" s="20"/>
      <c r="I764" s="20"/>
      <c r="J764" s="20"/>
      <c r="K764" s="20"/>
      <c r="L764" s="20"/>
      <c r="M764" s="20"/>
      <c r="N764" s="20"/>
      <c r="O764" s="20"/>
      <c r="P764" s="20"/>
      <c r="Q764" s="20"/>
      <c r="R764" s="20"/>
      <c r="S764" s="20"/>
      <c r="T764" s="20"/>
      <c r="U764" s="20"/>
      <c r="V764" s="20"/>
      <c r="W764" s="20"/>
      <c r="X764" s="20"/>
    </row>
    <row r="765" ht="12.0" customHeight="1">
      <c r="A765" s="20"/>
      <c r="B765" s="20"/>
      <c r="C765" s="20"/>
      <c r="D765" s="35"/>
      <c r="E765" s="20"/>
      <c r="F765" s="20"/>
      <c r="G765" s="20"/>
      <c r="H765" s="20"/>
      <c r="I765" s="20"/>
      <c r="J765" s="20"/>
      <c r="K765" s="20"/>
      <c r="L765" s="20"/>
      <c r="M765" s="20"/>
      <c r="N765" s="20"/>
      <c r="O765" s="20"/>
      <c r="P765" s="20"/>
      <c r="Q765" s="20"/>
      <c r="R765" s="20"/>
      <c r="S765" s="20"/>
      <c r="T765" s="20"/>
      <c r="U765" s="20"/>
      <c r="V765" s="20"/>
      <c r="W765" s="20"/>
      <c r="X765" s="20"/>
    </row>
    <row r="766" ht="12.0" customHeight="1">
      <c r="A766" s="20"/>
      <c r="B766" s="20"/>
      <c r="C766" s="20"/>
      <c r="D766" s="35"/>
      <c r="E766" s="20"/>
      <c r="F766" s="20"/>
      <c r="G766" s="20"/>
      <c r="H766" s="20"/>
      <c r="I766" s="20"/>
      <c r="J766" s="20"/>
      <c r="K766" s="20"/>
      <c r="L766" s="20"/>
      <c r="M766" s="20"/>
      <c r="N766" s="20"/>
      <c r="O766" s="20"/>
      <c r="P766" s="20"/>
      <c r="Q766" s="20"/>
      <c r="R766" s="20"/>
      <c r="S766" s="20"/>
      <c r="T766" s="20"/>
      <c r="U766" s="20"/>
      <c r="V766" s="20"/>
      <c r="W766" s="20"/>
      <c r="X766" s="20"/>
    </row>
    <row r="767" ht="12.0" customHeight="1">
      <c r="A767" s="20"/>
      <c r="B767" s="20"/>
      <c r="C767" s="20"/>
      <c r="D767" s="35"/>
      <c r="E767" s="20"/>
      <c r="F767" s="20"/>
      <c r="G767" s="20"/>
      <c r="H767" s="20"/>
      <c r="I767" s="20"/>
      <c r="J767" s="20"/>
      <c r="K767" s="20"/>
      <c r="L767" s="20"/>
      <c r="M767" s="20"/>
      <c r="N767" s="20"/>
      <c r="O767" s="20"/>
      <c r="P767" s="20"/>
      <c r="Q767" s="20"/>
      <c r="R767" s="20"/>
      <c r="S767" s="20"/>
      <c r="T767" s="20"/>
      <c r="U767" s="20"/>
      <c r="V767" s="20"/>
      <c r="W767" s="20"/>
      <c r="X767" s="20"/>
    </row>
    <row r="768" ht="12.0" customHeight="1">
      <c r="A768" s="20"/>
      <c r="B768" s="20"/>
      <c r="C768" s="20"/>
      <c r="D768" s="35"/>
      <c r="E768" s="20"/>
      <c r="F768" s="20"/>
      <c r="G768" s="20"/>
      <c r="H768" s="20"/>
      <c r="I768" s="20"/>
      <c r="J768" s="20"/>
      <c r="K768" s="20"/>
      <c r="L768" s="20"/>
      <c r="M768" s="20"/>
      <c r="N768" s="20"/>
      <c r="O768" s="20"/>
      <c r="P768" s="20"/>
      <c r="Q768" s="20"/>
      <c r="R768" s="20"/>
      <c r="S768" s="20"/>
      <c r="T768" s="20"/>
      <c r="U768" s="20"/>
      <c r="V768" s="20"/>
      <c r="W768" s="20"/>
      <c r="X768" s="20"/>
    </row>
    <row r="769" ht="12.0" customHeight="1">
      <c r="A769" s="20"/>
      <c r="B769" s="20"/>
      <c r="C769" s="20"/>
      <c r="D769" s="35"/>
      <c r="E769" s="20"/>
      <c r="F769" s="20"/>
      <c r="G769" s="20"/>
      <c r="H769" s="20"/>
      <c r="I769" s="20"/>
      <c r="J769" s="20"/>
      <c r="K769" s="20"/>
      <c r="L769" s="20"/>
      <c r="M769" s="20"/>
      <c r="N769" s="20"/>
      <c r="O769" s="20"/>
      <c r="P769" s="20"/>
      <c r="Q769" s="20"/>
      <c r="R769" s="20"/>
      <c r="S769" s="20"/>
      <c r="T769" s="20"/>
      <c r="U769" s="20"/>
      <c r="V769" s="20"/>
      <c r="W769" s="20"/>
      <c r="X769" s="20"/>
    </row>
    <row r="770" ht="12.0" customHeight="1">
      <c r="A770" s="20"/>
      <c r="B770" s="20"/>
      <c r="C770" s="20"/>
      <c r="D770" s="35"/>
      <c r="E770" s="20"/>
      <c r="F770" s="20"/>
      <c r="G770" s="20"/>
      <c r="H770" s="20"/>
      <c r="I770" s="20"/>
      <c r="J770" s="20"/>
      <c r="K770" s="20"/>
      <c r="L770" s="20"/>
      <c r="M770" s="20"/>
      <c r="N770" s="20"/>
      <c r="O770" s="20"/>
      <c r="P770" s="20"/>
      <c r="Q770" s="20"/>
      <c r="R770" s="20"/>
      <c r="S770" s="20"/>
      <c r="T770" s="20"/>
      <c r="U770" s="20"/>
      <c r="V770" s="20"/>
      <c r="W770" s="20"/>
      <c r="X770" s="20"/>
    </row>
    <row r="771" ht="12.0" customHeight="1">
      <c r="A771" s="20"/>
      <c r="B771" s="20"/>
      <c r="C771" s="20"/>
      <c r="D771" s="35"/>
      <c r="E771" s="20"/>
      <c r="F771" s="20"/>
      <c r="G771" s="20"/>
      <c r="H771" s="20"/>
      <c r="I771" s="20"/>
      <c r="J771" s="20"/>
      <c r="K771" s="20"/>
      <c r="L771" s="20"/>
      <c r="M771" s="20"/>
      <c r="N771" s="20"/>
      <c r="O771" s="20"/>
      <c r="P771" s="20"/>
      <c r="Q771" s="20"/>
      <c r="R771" s="20"/>
      <c r="S771" s="20"/>
      <c r="T771" s="20"/>
      <c r="U771" s="20"/>
      <c r="V771" s="20"/>
      <c r="W771" s="20"/>
      <c r="X771" s="20"/>
    </row>
    <row r="772" ht="12.0" customHeight="1">
      <c r="A772" s="20"/>
      <c r="B772" s="20"/>
      <c r="C772" s="20"/>
      <c r="D772" s="35"/>
      <c r="E772" s="20"/>
      <c r="F772" s="20"/>
      <c r="G772" s="20"/>
      <c r="H772" s="20"/>
      <c r="I772" s="20"/>
      <c r="J772" s="20"/>
      <c r="K772" s="20"/>
      <c r="L772" s="20"/>
      <c r="M772" s="20"/>
      <c r="N772" s="20"/>
      <c r="O772" s="20"/>
      <c r="P772" s="20"/>
      <c r="Q772" s="20"/>
      <c r="R772" s="20"/>
      <c r="S772" s="20"/>
      <c r="T772" s="20"/>
      <c r="U772" s="20"/>
      <c r="V772" s="20"/>
      <c r="W772" s="20"/>
      <c r="X772" s="20"/>
    </row>
    <row r="773" ht="12.0" customHeight="1">
      <c r="A773" s="20"/>
      <c r="B773" s="20"/>
      <c r="C773" s="20"/>
      <c r="D773" s="35"/>
      <c r="E773" s="20"/>
      <c r="F773" s="20"/>
      <c r="G773" s="20"/>
      <c r="H773" s="20"/>
      <c r="I773" s="20"/>
      <c r="J773" s="20"/>
      <c r="K773" s="20"/>
      <c r="L773" s="20"/>
      <c r="M773" s="20"/>
      <c r="N773" s="20"/>
      <c r="O773" s="20"/>
      <c r="P773" s="20"/>
      <c r="Q773" s="20"/>
      <c r="R773" s="20"/>
      <c r="S773" s="20"/>
      <c r="T773" s="20"/>
      <c r="U773" s="20"/>
      <c r="V773" s="20"/>
      <c r="W773" s="20"/>
      <c r="X773" s="20"/>
    </row>
    <row r="774" ht="12.0" customHeight="1">
      <c r="A774" s="20"/>
      <c r="B774" s="20"/>
      <c r="C774" s="20"/>
      <c r="D774" s="35"/>
      <c r="E774" s="20"/>
      <c r="F774" s="20"/>
      <c r="G774" s="20"/>
      <c r="H774" s="20"/>
      <c r="I774" s="20"/>
      <c r="J774" s="20"/>
      <c r="K774" s="20"/>
      <c r="L774" s="20"/>
      <c r="M774" s="20"/>
      <c r="N774" s="20"/>
      <c r="O774" s="20"/>
      <c r="P774" s="20"/>
      <c r="Q774" s="20"/>
      <c r="R774" s="20"/>
      <c r="S774" s="20"/>
      <c r="T774" s="20"/>
      <c r="U774" s="20"/>
      <c r="V774" s="20"/>
      <c r="W774" s="20"/>
      <c r="X774" s="20"/>
    </row>
    <row r="775" ht="12.0" customHeight="1">
      <c r="A775" s="20"/>
      <c r="B775" s="20"/>
      <c r="C775" s="20"/>
      <c r="D775" s="35"/>
      <c r="E775" s="20"/>
      <c r="F775" s="20"/>
      <c r="G775" s="20"/>
      <c r="H775" s="20"/>
      <c r="I775" s="20"/>
      <c r="J775" s="20"/>
      <c r="K775" s="20"/>
      <c r="L775" s="20"/>
      <c r="M775" s="20"/>
      <c r="N775" s="20"/>
      <c r="O775" s="20"/>
      <c r="P775" s="20"/>
      <c r="Q775" s="20"/>
      <c r="R775" s="20"/>
      <c r="S775" s="20"/>
      <c r="T775" s="20"/>
      <c r="U775" s="20"/>
      <c r="V775" s="20"/>
      <c r="W775" s="20"/>
      <c r="X775" s="20"/>
    </row>
    <row r="776" ht="12.0" customHeight="1">
      <c r="A776" s="20"/>
      <c r="B776" s="20"/>
      <c r="C776" s="20"/>
      <c r="D776" s="35"/>
      <c r="E776" s="20"/>
      <c r="F776" s="20"/>
      <c r="G776" s="20"/>
      <c r="H776" s="20"/>
      <c r="I776" s="20"/>
      <c r="J776" s="20"/>
      <c r="K776" s="20"/>
      <c r="L776" s="20"/>
      <c r="M776" s="20"/>
      <c r="N776" s="20"/>
      <c r="O776" s="20"/>
      <c r="P776" s="20"/>
      <c r="Q776" s="20"/>
      <c r="R776" s="20"/>
      <c r="S776" s="20"/>
      <c r="T776" s="20"/>
      <c r="U776" s="20"/>
      <c r="V776" s="20"/>
      <c r="W776" s="20"/>
      <c r="X776" s="20"/>
    </row>
    <row r="777" ht="12.0" customHeight="1">
      <c r="A777" s="20"/>
      <c r="B777" s="20"/>
      <c r="C777" s="20"/>
      <c r="D777" s="35"/>
      <c r="E777" s="20"/>
      <c r="F777" s="20"/>
      <c r="G777" s="20"/>
      <c r="H777" s="20"/>
      <c r="I777" s="20"/>
      <c r="J777" s="20"/>
      <c r="K777" s="20"/>
      <c r="L777" s="20"/>
      <c r="M777" s="20"/>
      <c r="N777" s="20"/>
      <c r="O777" s="20"/>
      <c r="P777" s="20"/>
      <c r="Q777" s="20"/>
      <c r="R777" s="20"/>
      <c r="S777" s="20"/>
      <c r="T777" s="20"/>
      <c r="U777" s="20"/>
      <c r="V777" s="20"/>
      <c r="W777" s="20"/>
      <c r="X777" s="20"/>
    </row>
    <row r="778" ht="12.0" customHeight="1">
      <c r="A778" s="20"/>
      <c r="B778" s="20"/>
      <c r="C778" s="20"/>
      <c r="D778" s="35"/>
      <c r="E778" s="20"/>
      <c r="F778" s="20"/>
      <c r="G778" s="20"/>
      <c r="H778" s="20"/>
      <c r="I778" s="20"/>
      <c r="J778" s="20"/>
      <c r="K778" s="20"/>
      <c r="L778" s="20"/>
      <c r="M778" s="20"/>
      <c r="N778" s="20"/>
      <c r="O778" s="20"/>
      <c r="P778" s="20"/>
      <c r="Q778" s="20"/>
      <c r="R778" s="20"/>
      <c r="S778" s="20"/>
      <c r="T778" s="20"/>
      <c r="U778" s="20"/>
      <c r="V778" s="20"/>
      <c r="W778" s="20"/>
      <c r="X778" s="20"/>
    </row>
    <row r="779" ht="12.0" customHeight="1">
      <c r="A779" s="20"/>
      <c r="B779" s="20"/>
      <c r="C779" s="20"/>
      <c r="D779" s="35"/>
      <c r="E779" s="20"/>
      <c r="F779" s="20"/>
      <c r="G779" s="20"/>
      <c r="H779" s="20"/>
      <c r="I779" s="20"/>
      <c r="J779" s="20"/>
      <c r="K779" s="20"/>
      <c r="L779" s="20"/>
      <c r="M779" s="20"/>
      <c r="N779" s="20"/>
      <c r="O779" s="20"/>
      <c r="P779" s="20"/>
      <c r="Q779" s="20"/>
      <c r="R779" s="20"/>
      <c r="S779" s="20"/>
      <c r="T779" s="20"/>
      <c r="U779" s="20"/>
      <c r="V779" s="20"/>
      <c r="W779" s="20"/>
      <c r="X779" s="20"/>
    </row>
    <row r="780" ht="12.0" customHeight="1">
      <c r="A780" s="20"/>
      <c r="B780" s="20"/>
      <c r="C780" s="20"/>
      <c r="D780" s="35"/>
      <c r="E780" s="20"/>
      <c r="F780" s="20"/>
      <c r="G780" s="20"/>
      <c r="H780" s="20"/>
      <c r="I780" s="20"/>
      <c r="J780" s="20"/>
      <c r="K780" s="20"/>
      <c r="L780" s="20"/>
      <c r="M780" s="20"/>
      <c r="N780" s="20"/>
      <c r="O780" s="20"/>
      <c r="P780" s="20"/>
      <c r="Q780" s="20"/>
      <c r="R780" s="20"/>
      <c r="S780" s="20"/>
      <c r="T780" s="20"/>
      <c r="U780" s="20"/>
      <c r="V780" s="20"/>
      <c r="W780" s="20"/>
      <c r="X780" s="20"/>
    </row>
    <row r="781" ht="12.0" customHeight="1">
      <c r="A781" s="20"/>
      <c r="B781" s="20"/>
      <c r="C781" s="20"/>
      <c r="D781" s="35"/>
      <c r="E781" s="20"/>
      <c r="F781" s="20"/>
      <c r="G781" s="20"/>
      <c r="H781" s="20"/>
      <c r="I781" s="20"/>
      <c r="J781" s="20"/>
      <c r="K781" s="20"/>
      <c r="L781" s="20"/>
      <c r="M781" s="20"/>
      <c r="N781" s="20"/>
      <c r="O781" s="20"/>
      <c r="P781" s="20"/>
      <c r="Q781" s="20"/>
      <c r="R781" s="20"/>
      <c r="S781" s="20"/>
      <c r="T781" s="20"/>
      <c r="U781" s="20"/>
      <c r="V781" s="20"/>
      <c r="W781" s="20"/>
      <c r="X781" s="20"/>
    </row>
    <row r="782" ht="12.0" customHeight="1">
      <c r="A782" s="20"/>
      <c r="B782" s="20"/>
      <c r="C782" s="20"/>
      <c r="D782" s="35"/>
      <c r="E782" s="20"/>
      <c r="F782" s="20"/>
      <c r="G782" s="20"/>
      <c r="H782" s="20"/>
      <c r="I782" s="20"/>
      <c r="J782" s="20"/>
      <c r="K782" s="20"/>
      <c r="L782" s="20"/>
      <c r="M782" s="20"/>
      <c r="N782" s="20"/>
      <c r="O782" s="20"/>
      <c r="P782" s="20"/>
      <c r="Q782" s="20"/>
      <c r="R782" s="20"/>
      <c r="S782" s="20"/>
      <c r="T782" s="20"/>
      <c r="U782" s="20"/>
      <c r="V782" s="20"/>
      <c r="W782" s="20"/>
      <c r="X782" s="20"/>
    </row>
    <row r="783" ht="12.0" customHeight="1">
      <c r="A783" s="20"/>
      <c r="B783" s="20"/>
      <c r="C783" s="20"/>
      <c r="D783" s="35"/>
      <c r="E783" s="20"/>
      <c r="F783" s="20"/>
      <c r="G783" s="20"/>
      <c r="H783" s="20"/>
      <c r="I783" s="20"/>
      <c r="J783" s="20"/>
      <c r="K783" s="20"/>
      <c r="L783" s="20"/>
      <c r="M783" s="20"/>
      <c r="N783" s="20"/>
      <c r="O783" s="20"/>
      <c r="P783" s="20"/>
      <c r="Q783" s="20"/>
      <c r="R783" s="20"/>
      <c r="S783" s="20"/>
      <c r="T783" s="20"/>
      <c r="U783" s="20"/>
      <c r="V783" s="20"/>
      <c r="W783" s="20"/>
      <c r="X783" s="20"/>
    </row>
    <row r="784" ht="12.0" customHeight="1">
      <c r="A784" s="20"/>
      <c r="B784" s="20"/>
      <c r="C784" s="20"/>
      <c r="D784" s="35"/>
      <c r="E784" s="20"/>
      <c r="F784" s="20"/>
      <c r="G784" s="20"/>
      <c r="H784" s="20"/>
      <c r="I784" s="20"/>
      <c r="J784" s="20"/>
      <c r="K784" s="20"/>
      <c r="L784" s="20"/>
      <c r="M784" s="20"/>
      <c r="N784" s="20"/>
      <c r="O784" s="20"/>
      <c r="P784" s="20"/>
      <c r="Q784" s="20"/>
      <c r="R784" s="20"/>
      <c r="S784" s="20"/>
      <c r="T784" s="20"/>
      <c r="U784" s="20"/>
      <c r="V784" s="20"/>
      <c r="W784" s="20"/>
      <c r="X784" s="20"/>
    </row>
    <row r="785" ht="12.0" customHeight="1">
      <c r="A785" s="20"/>
      <c r="B785" s="20"/>
      <c r="C785" s="20"/>
      <c r="D785" s="35"/>
      <c r="E785" s="20"/>
      <c r="F785" s="20"/>
      <c r="G785" s="20"/>
      <c r="H785" s="20"/>
      <c r="I785" s="20"/>
      <c r="J785" s="20"/>
      <c r="K785" s="20"/>
      <c r="L785" s="20"/>
      <c r="M785" s="20"/>
      <c r="N785" s="20"/>
      <c r="O785" s="20"/>
      <c r="P785" s="20"/>
      <c r="Q785" s="20"/>
      <c r="R785" s="20"/>
      <c r="S785" s="20"/>
      <c r="T785" s="20"/>
      <c r="U785" s="20"/>
      <c r="V785" s="20"/>
      <c r="W785" s="20"/>
      <c r="X785" s="20"/>
    </row>
    <row r="786" ht="12.0" customHeight="1">
      <c r="A786" s="20"/>
      <c r="B786" s="20"/>
      <c r="C786" s="20"/>
      <c r="D786" s="35"/>
      <c r="E786" s="20"/>
      <c r="F786" s="20"/>
      <c r="G786" s="20"/>
      <c r="H786" s="20"/>
      <c r="I786" s="20"/>
      <c r="J786" s="20"/>
      <c r="K786" s="20"/>
      <c r="L786" s="20"/>
      <c r="M786" s="20"/>
      <c r="N786" s="20"/>
      <c r="O786" s="20"/>
      <c r="P786" s="20"/>
      <c r="Q786" s="20"/>
      <c r="R786" s="20"/>
      <c r="S786" s="20"/>
      <c r="T786" s="20"/>
      <c r="U786" s="20"/>
      <c r="V786" s="20"/>
      <c r="W786" s="20"/>
      <c r="X786" s="20"/>
    </row>
    <row r="787" ht="12.0" customHeight="1">
      <c r="A787" s="20"/>
      <c r="B787" s="20"/>
      <c r="C787" s="20"/>
      <c r="D787" s="35"/>
      <c r="E787" s="20"/>
      <c r="F787" s="20"/>
      <c r="G787" s="20"/>
      <c r="H787" s="20"/>
      <c r="I787" s="20"/>
      <c r="J787" s="20"/>
      <c r="K787" s="20"/>
      <c r="L787" s="20"/>
      <c r="M787" s="20"/>
      <c r="N787" s="20"/>
      <c r="O787" s="20"/>
      <c r="P787" s="20"/>
      <c r="Q787" s="20"/>
      <c r="R787" s="20"/>
      <c r="S787" s="20"/>
      <c r="T787" s="20"/>
      <c r="U787" s="20"/>
      <c r="V787" s="20"/>
      <c r="W787" s="20"/>
      <c r="X787" s="20"/>
    </row>
    <row r="788" ht="12.0" customHeight="1">
      <c r="A788" s="20"/>
      <c r="B788" s="20"/>
      <c r="C788" s="20"/>
      <c r="D788" s="35"/>
      <c r="E788" s="20"/>
      <c r="F788" s="20"/>
      <c r="G788" s="20"/>
      <c r="H788" s="20"/>
      <c r="I788" s="20"/>
      <c r="J788" s="20"/>
      <c r="K788" s="20"/>
      <c r="L788" s="20"/>
      <c r="M788" s="20"/>
      <c r="N788" s="20"/>
      <c r="O788" s="20"/>
      <c r="P788" s="20"/>
      <c r="Q788" s="20"/>
      <c r="R788" s="20"/>
      <c r="S788" s="20"/>
      <c r="T788" s="20"/>
      <c r="U788" s="20"/>
      <c r="V788" s="20"/>
      <c r="W788" s="20"/>
      <c r="X788" s="20"/>
    </row>
    <row r="789" ht="12.0" customHeight="1">
      <c r="A789" s="20"/>
      <c r="B789" s="20"/>
      <c r="C789" s="20"/>
      <c r="D789" s="35"/>
      <c r="E789" s="20"/>
      <c r="F789" s="20"/>
      <c r="G789" s="20"/>
      <c r="H789" s="20"/>
      <c r="I789" s="20"/>
      <c r="J789" s="20"/>
      <c r="K789" s="20"/>
      <c r="L789" s="20"/>
      <c r="M789" s="20"/>
      <c r="N789" s="20"/>
      <c r="O789" s="20"/>
      <c r="P789" s="20"/>
      <c r="Q789" s="20"/>
      <c r="R789" s="20"/>
      <c r="S789" s="20"/>
      <c r="T789" s="20"/>
      <c r="U789" s="20"/>
      <c r="V789" s="20"/>
      <c r="W789" s="20"/>
      <c r="X789" s="20"/>
    </row>
    <row r="790" ht="12.0" customHeight="1">
      <c r="A790" s="20"/>
      <c r="B790" s="20"/>
      <c r="C790" s="20"/>
      <c r="D790" s="35"/>
      <c r="E790" s="20"/>
      <c r="F790" s="20"/>
      <c r="G790" s="20"/>
      <c r="H790" s="20"/>
      <c r="I790" s="20"/>
      <c r="J790" s="20"/>
      <c r="K790" s="20"/>
      <c r="L790" s="20"/>
      <c r="M790" s="20"/>
      <c r="N790" s="20"/>
      <c r="O790" s="20"/>
      <c r="P790" s="20"/>
      <c r="Q790" s="20"/>
      <c r="R790" s="20"/>
      <c r="S790" s="20"/>
      <c r="T790" s="20"/>
      <c r="U790" s="20"/>
      <c r="V790" s="20"/>
      <c r="W790" s="20"/>
      <c r="X790" s="20"/>
    </row>
    <row r="791" ht="12.0" customHeight="1">
      <c r="A791" s="20"/>
      <c r="B791" s="20"/>
      <c r="C791" s="20"/>
      <c r="D791" s="35"/>
      <c r="E791" s="20"/>
      <c r="F791" s="20"/>
      <c r="G791" s="20"/>
      <c r="H791" s="20"/>
      <c r="I791" s="20"/>
      <c r="J791" s="20"/>
      <c r="K791" s="20"/>
      <c r="L791" s="20"/>
      <c r="M791" s="20"/>
      <c r="N791" s="20"/>
      <c r="O791" s="20"/>
      <c r="P791" s="20"/>
      <c r="Q791" s="20"/>
      <c r="R791" s="20"/>
      <c r="S791" s="20"/>
      <c r="T791" s="20"/>
      <c r="U791" s="20"/>
      <c r="V791" s="20"/>
      <c r="W791" s="20"/>
      <c r="X791" s="20"/>
    </row>
    <row r="792" ht="12.0" customHeight="1">
      <c r="A792" s="20"/>
      <c r="B792" s="20"/>
      <c r="C792" s="20"/>
      <c r="D792" s="35"/>
      <c r="E792" s="20"/>
      <c r="F792" s="20"/>
      <c r="G792" s="20"/>
      <c r="H792" s="20"/>
      <c r="I792" s="20"/>
      <c r="J792" s="20"/>
      <c r="K792" s="20"/>
      <c r="L792" s="20"/>
      <c r="M792" s="20"/>
      <c r="N792" s="20"/>
      <c r="O792" s="20"/>
      <c r="P792" s="20"/>
      <c r="Q792" s="20"/>
      <c r="R792" s="20"/>
      <c r="S792" s="20"/>
      <c r="T792" s="20"/>
      <c r="U792" s="20"/>
      <c r="V792" s="20"/>
      <c r="W792" s="20"/>
      <c r="X792" s="20"/>
    </row>
    <row r="793" ht="12.0" customHeight="1">
      <c r="A793" s="20"/>
      <c r="B793" s="20"/>
      <c r="C793" s="20"/>
      <c r="D793" s="35"/>
      <c r="E793" s="20"/>
      <c r="F793" s="20"/>
      <c r="G793" s="20"/>
      <c r="H793" s="20"/>
      <c r="I793" s="20"/>
      <c r="J793" s="20"/>
      <c r="K793" s="20"/>
      <c r="L793" s="20"/>
      <c r="M793" s="20"/>
      <c r="N793" s="20"/>
      <c r="O793" s="20"/>
      <c r="P793" s="20"/>
      <c r="Q793" s="20"/>
      <c r="R793" s="20"/>
      <c r="S793" s="20"/>
      <c r="T793" s="20"/>
      <c r="U793" s="20"/>
      <c r="V793" s="20"/>
      <c r="W793" s="20"/>
      <c r="X793" s="20"/>
    </row>
    <row r="794" ht="12.0" customHeight="1">
      <c r="A794" s="20"/>
      <c r="B794" s="20"/>
      <c r="C794" s="20"/>
      <c r="D794" s="35"/>
      <c r="E794" s="20"/>
      <c r="F794" s="20"/>
      <c r="G794" s="20"/>
      <c r="H794" s="20"/>
      <c r="I794" s="20"/>
      <c r="J794" s="20"/>
      <c r="K794" s="20"/>
      <c r="L794" s="20"/>
      <c r="M794" s="20"/>
      <c r="N794" s="20"/>
      <c r="O794" s="20"/>
      <c r="P794" s="20"/>
      <c r="Q794" s="20"/>
      <c r="R794" s="20"/>
      <c r="S794" s="20"/>
      <c r="T794" s="20"/>
      <c r="U794" s="20"/>
      <c r="V794" s="20"/>
      <c r="W794" s="20"/>
      <c r="X794" s="20"/>
    </row>
    <row r="795" ht="12.0" customHeight="1">
      <c r="A795" s="20"/>
      <c r="B795" s="20"/>
      <c r="C795" s="20"/>
      <c r="D795" s="35"/>
      <c r="E795" s="20"/>
      <c r="F795" s="20"/>
      <c r="G795" s="20"/>
      <c r="H795" s="20"/>
      <c r="I795" s="20"/>
      <c r="J795" s="20"/>
      <c r="K795" s="20"/>
      <c r="L795" s="20"/>
      <c r="M795" s="20"/>
      <c r="N795" s="20"/>
      <c r="O795" s="20"/>
      <c r="P795" s="20"/>
      <c r="Q795" s="20"/>
      <c r="R795" s="20"/>
      <c r="S795" s="20"/>
      <c r="T795" s="20"/>
      <c r="U795" s="20"/>
      <c r="V795" s="20"/>
      <c r="W795" s="20"/>
      <c r="X795" s="20"/>
    </row>
    <row r="796" ht="12.0" customHeight="1">
      <c r="A796" s="20"/>
      <c r="B796" s="20"/>
      <c r="C796" s="20"/>
      <c r="D796" s="35"/>
      <c r="E796" s="20"/>
      <c r="F796" s="20"/>
      <c r="G796" s="20"/>
      <c r="H796" s="20"/>
      <c r="I796" s="20"/>
      <c r="J796" s="20"/>
      <c r="K796" s="20"/>
      <c r="L796" s="20"/>
      <c r="M796" s="20"/>
      <c r="N796" s="20"/>
      <c r="O796" s="20"/>
      <c r="P796" s="20"/>
      <c r="Q796" s="20"/>
      <c r="R796" s="20"/>
      <c r="S796" s="20"/>
      <c r="T796" s="20"/>
      <c r="U796" s="20"/>
      <c r="V796" s="20"/>
      <c r="W796" s="20"/>
      <c r="X796" s="20"/>
    </row>
    <row r="797" ht="12.0" customHeight="1">
      <c r="A797" s="20"/>
      <c r="B797" s="20"/>
      <c r="C797" s="20"/>
      <c r="D797" s="35"/>
      <c r="E797" s="20"/>
      <c r="F797" s="20"/>
      <c r="G797" s="20"/>
      <c r="H797" s="20"/>
      <c r="I797" s="20"/>
      <c r="J797" s="20"/>
      <c r="K797" s="20"/>
      <c r="L797" s="20"/>
      <c r="M797" s="20"/>
      <c r="N797" s="20"/>
      <c r="O797" s="20"/>
      <c r="P797" s="20"/>
      <c r="Q797" s="20"/>
      <c r="R797" s="20"/>
      <c r="S797" s="20"/>
      <c r="T797" s="20"/>
      <c r="U797" s="20"/>
      <c r="V797" s="20"/>
      <c r="W797" s="20"/>
      <c r="X797" s="20"/>
    </row>
    <row r="798" ht="12.0" customHeight="1">
      <c r="A798" s="20"/>
      <c r="B798" s="20"/>
      <c r="C798" s="20"/>
      <c r="D798" s="35"/>
      <c r="E798" s="20"/>
      <c r="F798" s="20"/>
      <c r="G798" s="20"/>
      <c r="H798" s="20"/>
      <c r="I798" s="20"/>
      <c r="J798" s="20"/>
      <c r="K798" s="20"/>
      <c r="L798" s="20"/>
      <c r="M798" s="20"/>
      <c r="N798" s="20"/>
      <c r="O798" s="20"/>
      <c r="P798" s="20"/>
      <c r="Q798" s="20"/>
      <c r="R798" s="20"/>
      <c r="S798" s="20"/>
      <c r="T798" s="20"/>
      <c r="U798" s="20"/>
      <c r="V798" s="20"/>
      <c r="W798" s="20"/>
      <c r="X798" s="20"/>
    </row>
    <row r="799" ht="12.0" customHeight="1">
      <c r="A799" s="20"/>
      <c r="B799" s="20"/>
      <c r="C799" s="20"/>
      <c r="D799" s="35"/>
      <c r="E799" s="20"/>
      <c r="F799" s="20"/>
      <c r="G799" s="20"/>
      <c r="H799" s="20"/>
      <c r="I799" s="20"/>
      <c r="J799" s="20"/>
      <c r="K799" s="20"/>
      <c r="L799" s="20"/>
      <c r="M799" s="20"/>
      <c r="N799" s="20"/>
      <c r="O799" s="20"/>
      <c r="P799" s="20"/>
      <c r="Q799" s="20"/>
      <c r="R799" s="20"/>
      <c r="S799" s="20"/>
      <c r="T799" s="20"/>
      <c r="U799" s="20"/>
      <c r="V799" s="20"/>
      <c r="W799" s="20"/>
      <c r="X799" s="20"/>
    </row>
    <row r="800" ht="12.0" customHeight="1">
      <c r="A800" s="20"/>
      <c r="B800" s="20"/>
      <c r="C800" s="20"/>
      <c r="D800" s="35"/>
      <c r="E800" s="20"/>
      <c r="F800" s="20"/>
      <c r="G800" s="20"/>
      <c r="H800" s="20"/>
      <c r="I800" s="20"/>
      <c r="J800" s="20"/>
      <c r="K800" s="20"/>
      <c r="L800" s="20"/>
      <c r="M800" s="20"/>
      <c r="N800" s="20"/>
      <c r="O800" s="20"/>
      <c r="P800" s="20"/>
      <c r="Q800" s="20"/>
      <c r="R800" s="20"/>
      <c r="S800" s="20"/>
      <c r="T800" s="20"/>
      <c r="U800" s="20"/>
      <c r="V800" s="20"/>
      <c r="W800" s="20"/>
      <c r="X800" s="20"/>
    </row>
    <row r="801" ht="12.0" customHeight="1">
      <c r="A801" s="20"/>
      <c r="B801" s="20"/>
      <c r="C801" s="20"/>
      <c r="D801" s="35"/>
      <c r="E801" s="20"/>
      <c r="F801" s="20"/>
      <c r="G801" s="20"/>
      <c r="H801" s="20"/>
      <c r="I801" s="20"/>
      <c r="J801" s="20"/>
      <c r="K801" s="20"/>
      <c r="L801" s="20"/>
      <c r="M801" s="20"/>
      <c r="N801" s="20"/>
      <c r="O801" s="20"/>
      <c r="P801" s="20"/>
      <c r="Q801" s="20"/>
      <c r="R801" s="20"/>
      <c r="S801" s="20"/>
      <c r="T801" s="20"/>
      <c r="U801" s="20"/>
      <c r="V801" s="20"/>
      <c r="W801" s="20"/>
      <c r="X801" s="20"/>
    </row>
    <row r="802" ht="12.0" customHeight="1">
      <c r="A802" s="20"/>
      <c r="B802" s="20"/>
      <c r="C802" s="20"/>
      <c r="D802" s="35"/>
      <c r="E802" s="20"/>
      <c r="F802" s="20"/>
      <c r="G802" s="20"/>
      <c r="H802" s="20"/>
      <c r="I802" s="20"/>
      <c r="J802" s="20"/>
      <c r="K802" s="20"/>
      <c r="L802" s="20"/>
      <c r="M802" s="20"/>
      <c r="N802" s="20"/>
      <c r="O802" s="20"/>
      <c r="P802" s="20"/>
      <c r="Q802" s="20"/>
      <c r="R802" s="20"/>
      <c r="S802" s="20"/>
      <c r="T802" s="20"/>
      <c r="U802" s="20"/>
      <c r="V802" s="20"/>
      <c r="W802" s="20"/>
      <c r="X802" s="20"/>
    </row>
    <row r="803" ht="12.0" customHeight="1">
      <c r="A803" s="20"/>
      <c r="B803" s="20"/>
      <c r="C803" s="20"/>
      <c r="D803" s="35"/>
      <c r="E803" s="20"/>
      <c r="F803" s="20"/>
      <c r="G803" s="20"/>
      <c r="H803" s="20"/>
      <c r="I803" s="20"/>
      <c r="J803" s="20"/>
      <c r="K803" s="20"/>
      <c r="L803" s="20"/>
      <c r="M803" s="20"/>
      <c r="N803" s="20"/>
      <c r="O803" s="20"/>
      <c r="P803" s="20"/>
      <c r="Q803" s="20"/>
      <c r="R803" s="20"/>
      <c r="S803" s="20"/>
      <c r="T803" s="20"/>
      <c r="U803" s="20"/>
      <c r="V803" s="20"/>
      <c r="W803" s="20"/>
      <c r="X803" s="20"/>
    </row>
    <row r="804" ht="12.0" customHeight="1">
      <c r="A804" s="20"/>
      <c r="B804" s="20"/>
      <c r="C804" s="20"/>
      <c r="D804" s="35"/>
      <c r="E804" s="20"/>
      <c r="F804" s="20"/>
      <c r="G804" s="20"/>
      <c r="H804" s="20"/>
      <c r="I804" s="20"/>
      <c r="J804" s="20"/>
      <c r="K804" s="20"/>
      <c r="L804" s="20"/>
      <c r="M804" s="20"/>
      <c r="N804" s="20"/>
      <c r="O804" s="20"/>
      <c r="P804" s="20"/>
      <c r="Q804" s="20"/>
      <c r="R804" s="20"/>
      <c r="S804" s="20"/>
      <c r="T804" s="20"/>
      <c r="U804" s="20"/>
      <c r="V804" s="20"/>
      <c r="W804" s="20"/>
      <c r="X804" s="20"/>
    </row>
    <row r="805" ht="12.0" customHeight="1">
      <c r="A805" s="20"/>
      <c r="B805" s="20"/>
      <c r="C805" s="20"/>
      <c r="D805" s="35"/>
      <c r="E805" s="20"/>
      <c r="F805" s="20"/>
      <c r="G805" s="20"/>
      <c r="H805" s="20"/>
      <c r="I805" s="20"/>
      <c r="J805" s="20"/>
      <c r="K805" s="20"/>
      <c r="L805" s="20"/>
      <c r="M805" s="20"/>
      <c r="N805" s="20"/>
      <c r="O805" s="20"/>
      <c r="P805" s="20"/>
      <c r="Q805" s="20"/>
      <c r="R805" s="20"/>
      <c r="S805" s="20"/>
      <c r="T805" s="20"/>
      <c r="U805" s="20"/>
      <c r="V805" s="20"/>
      <c r="W805" s="20"/>
      <c r="X805" s="20"/>
    </row>
    <row r="806" ht="12.0" customHeight="1">
      <c r="A806" s="20"/>
      <c r="B806" s="20"/>
      <c r="C806" s="20"/>
      <c r="D806" s="35"/>
      <c r="E806" s="20"/>
      <c r="F806" s="20"/>
      <c r="G806" s="20"/>
      <c r="H806" s="20"/>
      <c r="I806" s="20"/>
      <c r="J806" s="20"/>
      <c r="K806" s="20"/>
      <c r="L806" s="20"/>
      <c r="M806" s="20"/>
      <c r="N806" s="20"/>
      <c r="O806" s="20"/>
      <c r="P806" s="20"/>
      <c r="Q806" s="20"/>
      <c r="R806" s="20"/>
      <c r="S806" s="20"/>
      <c r="T806" s="20"/>
      <c r="U806" s="20"/>
      <c r="V806" s="20"/>
      <c r="W806" s="20"/>
      <c r="X806" s="20"/>
    </row>
    <row r="807" ht="12.0" customHeight="1">
      <c r="A807" s="20"/>
      <c r="B807" s="20"/>
      <c r="C807" s="20"/>
      <c r="D807" s="35"/>
      <c r="E807" s="20"/>
      <c r="F807" s="20"/>
      <c r="G807" s="20"/>
      <c r="H807" s="20"/>
      <c r="I807" s="20"/>
      <c r="J807" s="20"/>
      <c r="K807" s="20"/>
      <c r="L807" s="20"/>
      <c r="M807" s="20"/>
      <c r="N807" s="20"/>
      <c r="O807" s="20"/>
      <c r="P807" s="20"/>
      <c r="Q807" s="20"/>
      <c r="R807" s="20"/>
      <c r="S807" s="20"/>
      <c r="T807" s="20"/>
      <c r="U807" s="20"/>
      <c r="V807" s="20"/>
      <c r="W807" s="20"/>
      <c r="X807" s="20"/>
    </row>
    <row r="808" ht="12.0" customHeight="1">
      <c r="A808" s="20"/>
      <c r="B808" s="20"/>
      <c r="C808" s="20"/>
      <c r="D808" s="35"/>
      <c r="E808" s="20"/>
      <c r="F808" s="20"/>
      <c r="G808" s="20"/>
      <c r="H808" s="20"/>
      <c r="I808" s="20"/>
      <c r="J808" s="20"/>
      <c r="K808" s="20"/>
      <c r="L808" s="20"/>
      <c r="M808" s="20"/>
      <c r="N808" s="20"/>
      <c r="O808" s="20"/>
      <c r="P808" s="20"/>
      <c r="Q808" s="20"/>
      <c r="R808" s="20"/>
      <c r="S808" s="20"/>
      <c r="T808" s="20"/>
      <c r="U808" s="20"/>
      <c r="V808" s="20"/>
      <c r="W808" s="20"/>
      <c r="X808" s="20"/>
    </row>
    <row r="809" ht="12.0" customHeight="1">
      <c r="A809" s="20"/>
      <c r="B809" s="20"/>
      <c r="C809" s="20"/>
      <c r="D809" s="35"/>
      <c r="E809" s="20"/>
      <c r="F809" s="20"/>
      <c r="G809" s="20"/>
      <c r="H809" s="20"/>
      <c r="I809" s="20"/>
      <c r="J809" s="20"/>
      <c r="K809" s="20"/>
      <c r="L809" s="20"/>
      <c r="M809" s="20"/>
      <c r="N809" s="20"/>
      <c r="O809" s="20"/>
      <c r="P809" s="20"/>
      <c r="Q809" s="20"/>
      <c r="R809" s="20"/>
      <c r="S809" s="20"/>
      <c r="T809" s="20"/>
      <c r="U809" s="20"/>
      <c r="V809" s="20"/>
      <c r="W809" s="20"/>
      <c r="X809" s="20"/>
    </row>
    <row r="810" ht="12.0" customHeight="1">
      <c r="A810" s="20"/>
      <c r="B810" s="20"/>
      <c r="C810" s="20"/>
      <c r="D810" s="35"/>
      <c r="E810" s="20"/>
      <c r="F810" s="20"/>
      <c r="G810" s="20"/>
      <c r="H810" s="20"/>
      <c r="I810" s="20"/>
      <c r="J810" s="20"/>
      <c r="K810" s="20"/>
      <c r="L810" s="20"/>
      <c r="M810" s="20"/>
      <c r="N810" s="20"/>
      <c r="O810" s="20"/>
      <c r="P810" s="20"/>
      <c r="Q810" s="20"/>
      <c r="R810" s="20"/>
      <c r="S810" s="20"/>
      <c r="T810" s="20"/>
      <c r="U810" s="20"/>
      <c r="V810" s="20"/>
      <c r="W810" s="20"/>
      <c r="X810" s="20"/>
    </row>
    <row r="811" ht="12.0" customHeight="1">
      <c r="A811" s="20"/>
      <c r="B811" s="20"/>
      <c r="C811" s="20"/>
      <c r="D811" s="35"/>
      <c r="E811" s="20"/>
      <c r="F811" s="20"/>
      <c r="G811" s="20"/>
      <c r="H811" s="20"/>
      <c r="I811" s="20"/>
      <c r="J811" s="20"/>
      <c r="K811" s="20"/>
      <c r="L811" s="20"/>
      <c r="M811" s="20"/>
      <c r="N811" s="20"/>
      <c r="O811" s="20"/>
      <c r="P811" s="20"/>
      <c r="Q811" s="20"/>
      <c r="R811" s="20"/>
      <c r="S811" s="20"/>
      <c r="T811" s="20"/>
      <c r="U811" s="20"/>
      <c r="V811" s="20"/>
      <c r="W811" s="20"/>
      <c r="X811" s="20"/>
    </row>
    <row r="812" ht="12.0" customHeight="1">
      <c r="A812" s="20"/>
      <c r="B812" s="20"/>
      <c r="C812" s="20"/>
      <c r="D812" s="35"/>
      <c r="E812" s="20"/>
      <c r="F812" s="20"/>
      <c r="G812" s="20"/>
      <c r="H812" s="20"/>
      <c r="I812" s="20"/>
      <c r="J812" s="20"/>
      <c r="K812" s="20"/>
      <c r="L812" s="20"/>
      <c r="M812" s="20"/>
      <c r="N812" s="20"/>
      <c r="O812" s="20"/>
      <c r="P812" s="20"/>
      <c r="Q812" s="20"/>
      <c r="R812" s="20"/>
      <c r="S812" s="20"/>
      <c r="T812" s="20"/>
      <c r="U812" s="20"/>
      <c r="V812" s="20"/>
      <c r="W812" s="20"/>
      <c r="X812" s="20"/>
    </row>
    <row r="813" ht="12.0" customHeight="1">
      <c r="A813" s="20"/>
      <c r="B813" s="20"/>
      <c r="C813" s="20"/>
      <c r="D813" s="35"/>
      <c r="E813" s="20"/>
      <c r="F813" s="20"/>
      <c r="G813" s="20"/>
      <c r="H813" s="20"/>
      <c r="I813" s="20"/>
      <c r="J813" s="20"/>
      <c r="K813" s="20"/>
      <c r="L813" s="20"/>
      <c r="M813" s="20"/>
      <c r="N813" s="20"/>
      <c r="O813" s="20"/>
      <c r="P813" s="20"/>
      <c r="Q813" s="20"/>
      <c r="R813" s="20"/>
      <c r="S813" s="20"/>
      <c r="T813" s="20"/>
      <c r="U813" s="20"/>
      <c r="V813" s="20"/>
      <c r="W813" s="20"/>
      <c r="X813" s="20"/>
    </row>
    <row r="814" ht="12.0" customHeight="1">
      <c r="A814" s="20"/>
      <c r="B814" s="20"/>
      <c r="C814" s="20"/>
      <c r="D814" s="35"/>
      <c r="E814" s="20"/>
      <c r="F814" s="20"/>
      <c r="G814" s="20"/>
      <c r="H814" s="20"/>
      <c r="I814" s="20"/>
      <c r="J814" s="20"/>
      <c r="K814" s="20"/>
      <c r="L814" s="20"/>
      <c r="M814" s="20"/>
      <c r="N814" s="20"/>
      <c r="O814" s="20"/>
      <c r="P814" s="20"/>
      <c r="Q814" s="20"/>
      <c r="R814" s="20"/>
      <c r="S814" s="20"/>
      <c r="T814" s="20"/>
      <c r="U814" s="20"/>
      <c r="V814" s="20"/>
      <c r="W814" s="20"/>
      <c r="X814" s="20"/>
    </row>
  </sheetData>
  <conditionalFormatting sqref="G1:G814">
    <cfRule type="containsText" dxfId="1" priority="1" operator="containsText" text="BAD">
      <formula>NOT(ISERROR(SEARCH(("BAD"),(G1))))</formula>
    </cfRule>
  </conditionalFormatting>
  <conditionalFormatting sqref="G1:G814">
    <cfRule type="containsText" dxfId="2" priority="2" operator="containsText" text="GOOD">
      <formula>NOT(ISERROR(SEARCH(("GOOD"),(G1))))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s>
  <sheetData>
    <row r="1">
      <c r="A1" s="9" t="s">
        <v>1742</v>
      </c>
    </row>
    <row r="2">
      <c r="A2" s="96" t="s">
        <v>1666</v>
      </c>
      <c r="G2" s="97" t="s">
        <v>1745</v>
      </c>
    </row>
    <row r="3">
      <c r="A3" s="96" t="s">
        <v>1746</v>
      </c>
      <c r="G3" s="97" t="s">
        <v>1747</v>
      </c>
    </row>
    <row r="4">
      <c r="A4" s="96" t="s">
        <v>1700</v>
      </c>
      <c r="G4" s="97" t="s">
        <v>1748</v>
      </c>
    </row>
    <row r="5">
      <c r="A5" s="96" t="s">
        <v>1750</v>
      </c>
      <c r="G5" s="97" t="s">
        <v>1752</v>
      </c>
    </row>
    <row r="6">
      <c r="A6" s="96" t="s">
        <v>1753</v>
      </c>
      <c r="G6" s="97" t="s">
        <v>1754</v>
      </c>
    </row>
    <row r="7">
      <c r="A7" s="96" t="s">
        <v>1755</v>
      </c>
      <c r="G7" s="97" t="s">
        <v>1756</v>
      </c>
    </row>
    <row r="8">
      <c r="A8" s="96" t="s">
        <v>1696</v>
      </c>
      <c r="G8" s="97" t="s">
        <v>1757</v>
      </c>
    </row>
    <row r="9">
      <c r="A9" s="96" t="s">
        <v>1650</v>
      </c>
      <c r="G9" s="97" t="s">
        <v>1758</v>
      </c>
    </row>
    <row r="10">
      <c r="A10" s="96" t="s">
        <v>1759</v>
      </c>
      <c r="G10" s="97" t="s">
        <v>1760</v>
      </c>
    </row>
    <row r="11">
      <c r="A11" s="96" t="s">
        <v>1723</v>
      </c>
      <c r="G11" s="97" t="s">
        <v>1761</v>
      </c>
    </row>
    <row r="12">
      <c r="A12" s="96" t="s">
        <v>1721</v>
      </c>
      <c r="G12" s="97" t="s">
        <v>1763</v>
      </c>
    </row>
    <row r="13">
      <c r="A13" s="96" t="s">
        <v>1764</v>
      </c>
      <c r="G13" s="97" t="s">
        <v>1765</v>
      </c>
    </row>
    <row r="14">
      <c r="A14" s="96" t="s">
        <v>1766</v>
      </c>
      <c r="G14" s="97" t="s">
        <v>1767</v>
      </c>
    </row>
    <row r="15">
      <c r="A15" s="96" t="s">
        <v>1749</v>
      </c>
      <c r="G15" s="97" t="s">
        <v>1768</v>
      </c>
    </row>
    <row r="16">
      <c r="A16" s="96" t="s">
        <v>1709</v>
      </c>
      <c r="G16" s="97" t="s">
        <v>1769</v>
      </c>
    </row>
    <row r="17">
      <c r="A17" s="96" t="s">
        <v>1770</v>
      </c>
      <c r="G17" s="97" t="s">
        <v>1771</v>
      </c>
    </row>
    <row r="18">
      <c r="A18" s="96" t="s">
        <v>1772</v>
      </c>
      <c r="G18" s="97" t="s">
        <v>1773</v>
      </c>
    </row>
    <row r="19">
      <c r="A19" s="96" t="s">
        <v>1698</v>
      </c>
      <c r="G19" s="97" t="s">
        <v>1776</v>
      </c>
    </row>
    <row r="20">
      <c r="A20" s="96" t="s">
        <v>1777</v>
      </c>
      <c r="G20" s="97" t="s">
        <v>1778</v>
      </c>
    </row>
    <row r="21">
      <c r="A21" s="96" t="s">
        <v>1779</v>
      </c>
      <c r="G21" s="97" t="s">
        <v>1780</v>
      </c>
    </row>
    <row r="22">
      <c r="A22" s="96" t="s">
        <v>1725</v>
      </c>
      <c r="G22" s="97" t="s">
        <v>1781</v>
      </c>
    </row>
    <row r="23">
      <c r="A23" s="96" t="s">
        <v>1782</v>
      </c>
      <c r="G23" s="97" t="s">
        <v>1783</v>
      </c>
      <c r="N23" s="9" t="s">
        <v>1784</v>
      </c>
    </row>
    <row r="24">
      <c r="A24" s="96" t="s">
        <v>1711</v>
      </c>
      <c r="G24" s="97" t="s">
        <v>1787</v>
      </c>
    </row>
    <row r="25">
      <c r="A25" s="96" t="s">
        <v>1785</v>
      </c>
      <c r="G25" s="97" t="s">
        <v>1788</v>
      </c>
    </row>
    <row r="26">
      <c r="A26" s="96" t="s">
        <v>1789</v>
      </c>
      <c r="G26" s="97" t="s">
        <v>1790</v>
      </c>
    </row>
    <row r="27">
      <c r="A27" s="96" t="s">
        <v>1791</v>
      </c>
      <c r="G27" s="97" t="s">
        <v>1792</v>
      </c>
    </row>
    <row r="28">
      <c r="A28" s="96" t="s">
        <v>1793</v>
      </c>
      <c r="G28" s="97" t="s">
        <v>1794</v>
      </c>
    </row>
    <row r="29">
      <c r="A29" s="96" t="s">
        <v>1774</v>
      </c>
      <c r="G29" s="97" t="s">
        <v>1796</v>
      </c>
    </row>
    <row r="30">
      <c r="A30" s="96" t="s">
        <v>1797</v>
      </c>
      <c r="G30" s="97" t="s">
        <v>1798</v>
      </c>
    </row>
    <row r="31">
      <c r="A31" s="96" t="s">
        <v>1715</v>
      </c>
      <c r="G31" s="97" t="s">
        <v>1799</v>
      </c>
    </row>
    <row r="32">
      <c r="A32" s="96" t="s">
        <v>1800</v>
      </c>
      <c r="G32" s="97" t="s">
        <v>1801</v>
      </c>
    </row>
    <row r="33">
      <c r="A33" s="96" t="s">
        <v>1802</v>
      </c>
      <c r="G33" s="97" t="s">
        <v>1804</v>
      </c>
    </row>
    <row r="34">
      <c r="A34" s="96" t="s">
        <v>1805</v>
      </c>
      <c r="G34" s="97" t="s">
        <v>1806</v>
      </c>
    </row>
    <row r="35">
      <c r="A35" s="96" t="s">
        <v>1807</v>
      </c>
      <c r="G35" s="97" t="s">
        <v>1808</v>
      </c>
    </row>
    <row r="36">
      <c r="A36" s="96" t="s">
        <v>1809</v>
      </c>
      <c r="G36" s="97" t="s">
        <v>1810</v>
      </c>
    </row>
    <row r="37">
      <c r="A37" s="96" t="s">
        <v>1730</v>
      </c>
      <c r="G37" s="97" t="s">
        <v>1811</v>
      </c>
    </row>
    <row r="38">
      <c r="A38" s="96" t="s">
        <v>1812</v>
      </c>
      <c r="G38" s="97" t="s">
        <v>1813</v>
      </c>
    </row>
    <row r="39">
      <c r="A39" s="96" t="s">
        <v>1814</v>
      </c>
      <c r="G39" s="97" t="s">
        <v>1815</v>
      </c>
    </row>
    <row r="40">
      <c r="A40" s="96" t="s">
        <v>1817</v>
      </c>
      <c r="G40" s="97" t="s">
        <v>1818</v>
      </c>
    </row>
    <row r="41">
      <c r="A41" s="96" t="s">
        <v>1727</v>
      </c>
      <c r="G41" s="97" t="s">
        <v>1819</v>
      </c>
    </row>
    <row r="42">
      <c r="A42" s="96" t="s">
        <v>1703</v>
      </c>
      <c r="G42" s="97" t="s">
        <v>1820</v>
      </c>
    </row>
    <row r="43">
      <c r="A43" s="96" t="s">
        <v>1821</v>
      </c>
      <c r="G43" s="97" t="s">
        <v>1822</v>
      </c>
    </row>
    <row r="44">
      <c r="A44" s="96" t="s">
        <v>1675</v>
      </c>
      <c r="G44" s="97" t="s">
        <v>1823</v>
      </c>
    </row>
    <row r="45">
      <c r="A45" s="96" t="s">
        <v>1824</v>
      </c>
      <c r="G45" s="98"/>
    </row>
    <row r="46">
      <c r="A46" s="96" t="s">
        <v>1826</v>
      </c>
      <c r="G46" s="98"/>
    </row>
    <row r="47">
      <c r="A47" s="96" t="s">
        <v>1827</v>
      </c>
      <c r="G47" s="99"/>
    </row>
    <row r="48">
      <c r="A48" s="96" t="s">
        <v>1719</v>
      </c>
      <c r="G48" s="98"/>
    </row>
    <row r="49">
      <c r="A49" s="96" t="s">
        <v>1828</v>
      </c>
      <c r="G49" s="99"/>
    </row>
    <row r="50">
      <c r="A50" s="96" t="s">
        <v>1829</v>
      </c>
      <c r="G50" s="98"/>
    </row>
    <row r="51">
      <c r="G51" s="98"/>
    </row>
    <row r="52">
      <c r="G52" s="99"/>
    </row>
    <row r="53">
      <c r="G53" s="99"/>
    </row>
    <row r="54">
      <c r="G54" s="98"/>
    </row>
    <row r="55">
      <c r="G55" s="99"/>
    </row>
    <row r="56">
      <c r="G56" s="99"/>
    </row>
    <row r="57">
      <c r="G57" s="98"/>
    </row>
    <row r="58">
      <c r="G58" s="99"/>
    </row>
    <row r="59">
      <c r="G59" s="98"/>
    </row>
    <row r="60">
      <c r="G60" s="99"/>
    </row>
    <row r="61">
      <c r="G61" s="98"/>
    </row>
    <row r="62">
      <c r="G62" s="99"/>
    </row>
    <row r="63">
      <c r="G63" s="98"/>
    </row>
    <row r="64">
      <c r="G64" s="99"/>
    </row>
    <row r="65">
      <c r="G65" s="98"/>
    </row>
    <row r="66">
      <c r="G66" s="99"/>
    </row>
    <row r="67">
      <c r="G67" s="98"/>
    </row>
    <row r="68">
      <c r="G68" s="99"/>
    </row>
    <row r="69">
      <c r="G69" s="98"/>
    </row>
    <row r="70">
      <c r="G70" s="99"/>
    </row>
    <row r="71">
      <c r="G71" s="98"/>
    </row>
    <row r="72">
      <c r="G72" s="99"/>
    </row>
    <row r="73">
      <c r="G73" s="98"/>
    </row>
    <row r="74">
      <c r="G74" s="99"/>
    </row>
    <row r="75">
      <c r="G75" s="98"/>
    </row>
    <row r="76">
      <c r="G76" s="99"/>
    </row>
    <row r="77">
      <c r="G77" s="98"/>
    </row>
    <row r="78">
      <c r="G78" s="99"/>
    </row>
    <row r="79">
      <c r="G79" s="98"/>
    </row>
    <row r="80">
      <c r="G80" s="99"/>
    </row>
    <row r="81">
      <c r="G81" s="98"/>
    </row>
    <row r="82">
      <c r="G82" s="99"/>
    </row>
    <row r="83">
      <c r="G83" s="98"/>
    </row>
    <row r="84">
      <c r="G84" s="99"/>
    </row>
    <row r="85">
      <c r="G85" s="98"/>
    </row>
    <row r="86">
      <c r="G86" s="99"/>
    </row>
    <row r="87">
      <c r="G87" s="9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5.13"/>
  </cols>
  <sheetData>
    <row r="1">
      <c r="A1" s="9" t="s">
        <v>44</v>
      </c>
      <c r="B1" s="9" t="s">
        <v>1844</v>
      </c>
    </row>
    <row r="2">
      <c r="A2" s="11">
        <v>45292.0</v>
      </c>
      <c r="B2" s="9" t="s">
        <v>1845</v>
      </c>
    </row>
    <row r="3">
      <c r="A3" s="11">
        <v>45331.0</v>
      </c>
      <c r="B3" s="9" t="s">
        <v>1846</v>
      </c>
    </row>
    <row r="4">
      <c r="A4" s="11">
        <v>45332.0</v>
      </c>
      <c r="B4" s="9" t="s">
        <v>1846</v>
      </c>
    </row>
    <row r="5">
      <c r="A5" s="11">
        <v>45333.0</v>
      </c>
      <c r="B5" s="9" t="s">
        <v>1846</v>
      </c>
    </row>
    <row r="6">
      <c r="A6" s="11">
        <v>45334.0</v>
      </c>
      <c r="B6" s="9" t="s">
        <v>1848</v>
      </c>
    </row>
    <row r="7">
      <c r="A7" s="11">
        <v>45352.0</v>
      </c>
      <c r="B7" s="9" t="s">
        <v>1849</v>
      </c>
    </row>
    <row r="8">
      <c r="A8" s="11">
        <v>45392.0</v>
      </c>
      <c r="B8" s="9" t="s">
        <v>1850</v>
      </c>
    </row>
    <row r="9">
      <c r="A9" s="11">
        <v>45417.0</v>
      </c>
      <c r="B9" s="9" t="s">
        <v>1851</v>
      </c>
    </row>
    <row r="10">
      <c r="A10" s="11">
        <v>45418.0</v>
      </c>
      <c r="B10" s="9" t="s">
        <v>1848</v>
      </c>
    </row>
    <row r="11">
      <c r="A11" s="11">
        <v>45427.0</v>
      </c>
      <c r="B11" s="9" t="s">
        <v>1852</v>
      </c>
    </row>
    <row r="12">
      <c r="A12" s="11">
        <v>45449.0</v>
      </c>
      <c r="B12" s="9" t="s">
        <v>1853</v>
      </c>
    </row>
    <row r="13">
      <c r="A13" s="11">
        <v>45519.0</v>
      </c>
      <c r="B13" s="9" t="s">
        <v>1854</v>
      </c>
    </row>
    <row r="14">
      <c r="A14" s="11">
        <v>45551.0</v>
      </c>
      <c r="B14" s="9" t="s">
        <v>1856</v>
      </c>
    </row>
    <row r="15">
      <c r="A15" s="11">
        <v>45552.0</v>
      </c>
      <c r="B15" s="9" t="s">
        <v>1856</v>
      </c>
    </row>
    <row r="16">
      <c r="A16" s="11">
        <v>45553.0</v>
      </c>
      <c r="B16" s="9" t="s">
        <v>1856</v>
      </c>
    </row>
    <row r="17">
      <c r="A17" s="11">
        <v>45568.0</v>
      </c>
      <c r="B17" s="9" t="s">
        <v>1857</v>
      </c>
    </row>
    <row r="18">
      <c r="A18" s="11">
        <v>45574.0</v>
      </c>
      <c r="B18" s="9" t="s">
        <v>1858</v>
      </c>
    </row>
    <row r="19">
      <c r="A19" s="11">
        <v>45651.0</v>
      </c>
      <c r="B19" s="9" t="s">
        <v>1859</v>
      </c>
    </row>
    <row r="20">
      <c r="A20" s="11">
        <v>45658.0</v>
      </c>
      <c r="B20" s="9" t="s">
        <v>1845</v>
      </c>
    </row>
    <row r="21">
      <c r="A21" s="11">
        <v>45685.0</v>
      </c>
      <c r="B21" s="9" t="s">
        <v>1846</v>
      </c>
    </row>
    <row r="22">
      <c r="A22" s="11">
        <v>45686.0</v>
      </c>
      <c r="B22" s="9" t="s">
        <v>1846</v>
      </c>
    </row>
    <row r="23">
      <c r="A23" s="11">
        <v>45687.0</v>
      </c>
      <c r="B23" s="9" t="s">
        <v>1846</v>
      </c>
    </row>
    <row r="24">
      <c r="A24" s="11">
        <v>45717.0</v>
      </c>
      <c r="B24" s="9" t="s">
        <v>1849</v>
      </c>
    </row>
    <row r="25">
      <c r="A25" s="11">
        <v>45782.0</v>
      </c>
      <c r="B25" s="9" t="s">
        <v>1851</v>
      </c>
    </row>
    <row r="26">
      <c r="A26" s="11">
        <v>45783.0</v>
      </c>
      <c r="B26" s="9" t="s">
        <v>1848</v>
      </c>
    </row>
    <row r="27">
      <c r="A27" s="11">
        <v>45814.0</v>
      </c>
      <c r="B27" s="9" t="s">
        <v>1853</v>
      </c>
    </row>
    <row r="28">
      <c r="A28" s="11">
        <v>45884.0</v>
      </c>
      <c r="B28" s="9" t="s">
        <v>1854</v>
      </c>
    </row>
    <row r="29">
      <c r="A29" s="11">
        <v>45933.0</v>
      </c>
      <c r="B29" s="9" t="s">
        <v>1857</v>
      </c>
    </row>
    <row r="30">
      <c r="A30" s="11">
        <v>45935.0</v>
      </c>
      <c r="B30" s="9" t="s">
        <v>1856</v>
      </c>
    </row>
    <row r="31">
      <c r="A31" s="11">
        <v>45936.0</v>
      </c>
      <c r="B31" s="9" t="s">
        <v>1856</v>
      </c>
    </row>
    <row r="32">
      <c r="A32" s="11">
        <v>45937.0</v>
      </c>
      <c r="B32" s="9" t="s">
        <v>1856</v>
      </c>
    </row>
    <row r="33">
      <c r="A33" s="11">
        <v>45938.0</v>
      </c>
      <c r="B33" s="9" t="s">
        <v>1848</v>
      </c>
    </row>
    <row r="34">
      <c r="A34" s="11">
        <v>45939.0</v>
      </c>
      <c r="B34" s="9" t="s">
        <v>1858</v>
      </c>
    </row>
    <row r="35">
      <c r="A35" s="11">
        <v>46016.0</v>
      </c>
      <c r="B35" s="9" t="s">
        <v>1859</v>
      </c>
    </row>
    <row r="36">
      <c r="A36" s="11">
        <v>46023.0</v>
      </c>
      <c r="B36" s="9" t="s">
        <v>1845</v>
      </c>
    </row>
    <row r="37">
      <c r="A37" s="11">
        <v>46069.0</v>
      </c>
      <c r="B37" s="9" t="s">
        <v>1846</v>
      </c>
    </row>
    <row r="38">
      <c r="A38" s="11">
        <v>46070.0</v>
      </c>
      <c r="B38" s="9" t="s">
        <v>1846</v>
      </c>
    </row>
    <row r="39">
      <c r="A39" s="11">
        <v>46071.0</v>
      </c>
      <c r="B39" s="9" t="s">
        <v>1846</v>
      </c>
    </row>
    <row r="40">
      <c r="A40" s="11">
        <v>46082.0</v>
      </c>
      <c r="B40" s="9" t="s">
        <v>1849</v>
      </c>
    </row>
    <row r="41">
      <c r="A41" s="11">
        <v>46083.0</v>
      </c>
      <c r="B41" s="9" t="s">
        <v>1848</v>
      </c>
    </row>
    <row r="42">
      <c r="A42" s="11">
        <v>46143.0</v>
      </c>
      <c r="B42" s="9" t="s">
        <v>1862</v>
      </c>
    </row>
    <row r="43">
      <c r="A43" s="11">
        <v>46147.0</v>
      </c>
      <c r="B43" s="9" t="s">
        <v>1851</v>
      </c>
    </row>
    <row r="44">
      <c r="A44" s="11">
        <v>46166.0</v>
      </c>
      <c r="B44" s="9" t="s">
        <v>1852</v>
      </c>
    </row>
    <row r="45">
      <c r="A45" s="11">
        <v>46167.0</v>
      </c>
      <c r="B45" s="9" t="s">
        <v>1848</v>
      </c>
    </row>
    <row r="46">
      <c r="A46" s="11">
        <v>46176.0</v>
      </c>
      <c r="B46" s="9" t="s">
        <v>1864</v>
      </c>
    </row>
    <row r="47">
      <c r="A47" s="11">
        <v>46179.0</v>
      </c>
      <c r="B47" s="9" t="s">
        <v>1853</v>
      </c>
    </row>
    <row r="48">
      <c r="A48" s="11">
        <v>46220.0</v>
      </c>
      <c r="B48" s="9" t="s">
        <v>1866</v>
      </c>
    </row>
    <row r="49">
      <c r="A49" s="11">
        <v>46249.0</v>
      </c>
      <c r="B49" s="9" t="s">
        <v>1854</v>
      </c>
    </row>
    <row r="50">
      <c r="A50" s="11">
        <v>46289.0</v>
      </c>
      <c r="B50" s="9" t="s">
        <v>1856</v>
      </c>
    </row>
    <row r="51">
      <c r="A51" s="11">
        <v>46290.0</v>
      </c>
      <c r="B51" s="9" t="s">
        <v>1856</v>
      </c>
    </row>
    <row r="52">
      <c r="A52" s="11">
        <v>46291.0</v>
      </c>
      <c r="B52" s="9" t="s">
        <v>1856</v>
      </c>
    </row>
    <row r="53">
      <c r="A53" s="11">
        <v>46298.0</v>
      </c>
      <c r="B53" s="9" t="s">
        <v>1857</v>
      </c>
    </row>
    <row r="54">
      <c r="A54" s="11">
        <v>46304.0</v>
      </c>
      <c r="B54" s="9" t="s">
        <v>1858</v>
      </c>
    </row>
    <row r="55">
      <c r="A55" s="11">
        <v>46381.0</v>
      </c>
      <c r="B55" s="9" t="s">
        <v>1859</v>
      </c>
    </row>
    <row r="56">
      <c r="A56" s="11">
        <v>46388.0</v>
      </c>
      <c r="B56" s="9" t="s">
        <v>1845</v>
      </c>
    </row>
    <row r="57">
      <c r="A57" s="11">
        <v>46424.0</v>
      </c>
      <c r="B57" s="9" t="s">
        <v>1846</v>
      </c>
    </row>
    <row r="58">
      <c r="A58" s="11">
        <v>46425.0</v>
      </c>
      <c r="B58" s="9" t="s">
        <v>1846</v>
      </c>
    </row>
    <row r="59">
      <c r="A59" s="11">
        <v>46426.0</v>
      </c>
      <c r="B59" s="9" t="s">
        <v>1846</v>
      </c>
    </row>
    <row r="60">
      <c r="A60" s="11">
        <v>46427.0</v>
      </c>
      <c r="B60" s="9" t="s">
        <v>1848</v>
      </c>
    </row>
    <row r="61">
      <c r="A61" s="11">
        <v>46447.0</v>
      </c>
      <c r="B61" s="9" t="s">
        <v>1849</v>
      </c>
    </row>
    <row r="62">
      <c r="A62" s="11">
        <v>46508.0</v>
      </c>
      <c r="B62" s="9" t="s">
        <v>1862</v>
      </c>
    </row>
    <row r="63">
      <c r="A63" s="11">
        <v>46512.0</v>
      </c>
      <c r="B63" s="9" t="s">
        <v>1851</v>
      </c>
    </row>
    <row r="64">
      <c r="A64" s="11">
        <v>46520.0</v>
      </c>
      <c r="B64" s="9" t="s">
        <v>1852</v>
      </c>
    </row>
    <row r="65">
      <c r="A65" s="11">
        <v>46544.0</v>
      </c>
      <c r="B65" s="9" t="s">
        <v>1853</v>
      </c>
    </row>
    <row r="66">
      <c r="A66" s="11">
        <v>46585.0</v>
      </c>
      <c r="B66" s="9" t="s">
        <v>1866</v>
      </c>
    </row>
    <row r="67">
      <c r="A67" s="11">
        <v>46614.0</v>
      </c>
      <c r="B67" s="9" t="s">
        <v>1854</v>
      </c>
    </row>
    <row r="68">
      <c r="A68" s="11">
        <v>46615.0</v>
      </c>
      <c r="B68" s="9" t="s">
        <v>1848</v>
      </c>
    </row>
    <row r="69">
      <c r="A69" s="11">
        <v>46644.0</v>
      </c>
      <c r="B69" s="9" t="s">
        <v>1856</v>
      </c>
    </row>
    <row r="70">
      <c r="A70" s="11">
        <v>46645.0</v>
      </c>
      <c r="B70" s="9" t="s">
        <v>1856</v>
      </c>
    </row>
    <row r="71">
      <c r="A71" s="11">
        <v>46646.0</v>
      </c>
      <c r="B71" s="9" t="s">
        <v>1856</v>
      </c>
    </row>
    <row r="72">
      <c r="A72" s="11">
        <v>46663.0</v>
      </c>
      <c r="B72" s="9" t="s">
        <v>1857</v>
      </c>
    </row>
    <row r="73">
      <c r="A73" s="11">
        <v>46664.0</v>
      </c>
      <c r="B73" s="9" t="s">
        <v>1848</v>
      </c>
    </row>
    <row r="74">
      <c r="A74" s="11">
        <v>46669.0</v>
      </c>
      <c r="B74" s="9" t="s">
        <v>1858</v>
      </c>
    </row>
    <row r="75">
      <c r="A75" s="11">
        <v>46671.0</v>
      </c>
      <c r="B75" s="9" t="s">
        <v>1848</v>
      </c>
    </row>
    <row r="76">
      <c r="A76" s="11">
        <v>46746.0</v>
      </c>
      <c r="B76" s="9" t="s">
        <v>1859</v>
      </c>
    </row>
    <row r="77">
      <c r="A77" s="11">
        <v>46748.0</v>
      </c>
      <c r="B77" s="9" t="s">
        <v>1848</v>
      </c>
    </row>
    <row r="78">
      <c r="A78" s="11">
        <v>46753.0</v>
      </c>
      <c r="B78" s="9" t="s">
        <v>1845</v>
      </c>
    </row>
    <row r="79">
      <c r="A79" s="11">
        <v>46778.0</v>
      </c>
      <c r="B79" s="9" t="s">
        <v>1846</v>
      </c>
    </row>
    <row r="80">
      <c r="A80" s="11">
        <v>46779.0</v>
      </c>
      <c r="B80" s="9" t="s">
        <v>1846</v>
      </c>
    </row>
    <row r="81">
      <c r="A81" s="11">
        <v>46780.0</v>
      </c>
      <c r="B81" s="9" t="s">
        <v>1846</v>
      </c>
    </row>
    <row r="82">
      <c r="A82" s="11">
        <v>46813.0</v>
      </c>
      <c r="B82" s="9" t="s">
        <v>1849</v>
      </c>
    </row>
    <row r="83">
      <c r="A83" s="11">
        <v>46874.0</v>
      </c>
      <c r="B83" s="9" t="s">
        <v>1862</v>
      </c>
    </row>
    <row r="84">
      <c r="A84" s="11">
        <v>46875.0</v>
      </c>
      <c r="B84" s="9" t="s">
        <v>1852</v>
      </c>
    </row>
    <row r="85">
      <c r="A85" s="11">
        <v>46878.0</v>
      </c>
      <c r="B85" s="9" t="s">
        <v>1851</v>
      </c>
    </row>
    <row r="86">
      <c r="A86" s="11">
        <v>46910.0</v>
      </c>
      <c r="B86" s="9" t="s">
        <v>1853</v>
      </c>
    </row>
    <row r="87">
      <c r="A87" s="11">
        <v>46951.0</v>
      </c>
      <c r="B87" s="9" t="s">
        <v>1866</v>
      </c>
    </row>
    <row r="88">
      <c r="A88" s="11">
        <v>46980.0</v>
      </c>
      <c r="B88" s="9" t="s">
        <v>1854</v>
      </c>
    </row>
    <row r="89">
      <c r="A89" s="11">
        <v>47028.0</v>
      </c>
      <c r="B89" s="9" t="s">
        <v>1856</v>
      </c>
    </row>
    <row r="90">
      <c r="A90" s="11">
        <v>47029.0</v>
      </c>
      <c r="B90" s="9" t="s">
        <v>1875</v>
      </c>
    </row>
    <row r="91">
      <c r="A91" s="11">
        <v>47030.0</v>
      </c>
      <c r="B91" s="9" t="s">
        <v>1856</v>
      </c>
    </row>
    <row r="92">
      <c r="A92" s="11">
        <v>47031.0</v>
      </c>
      <c r="B92" s="9" t="s">
        <v>1848</v>
      </c>
    </row>
    <row r="93">
      <c r="A93" s="11">
        <v>47035.0</v>
      </c>
      <c r="B93" s="9" t="s">
        <v>1858</v>
      </c>
    </row>
    <row r="94">
      <c r="A94" s="11">
        <v>47112.0</v>
      </c>
      <c r="B94" s="9" t="s">
        <v>1859</v>
      </c>
    </row>
    <row r="95">
      <c r="A95" s="11">
        <v>47119.0</v>
      </c>
      <c r="B95" s="9" t="s">
        <v>1845</v>
      </c>
    </row>
    <row r="96">
      <c r="A96" s="11">
        <v>47161.0</v>
      </c>
      <c r="B96" s="9" t="s">
        <v>1846</v>
      </c>
    </row>
    <row r="97">
      <c r="A97" s="11">
        <v>47162.0</v>
      </c>
      <c r="B97" s="9" t="s">
        <v>1846</v>
      </c>
    </row>
    <row r="98">
      <c r="A98" s="11">
        <v>47163.0</v>
      </c>
      <c r="B98" s="9" t="s">
        <v>1846</v>
      </c>
    </row>
    <row r="99">
      <c r="A99" s="11">
        <v>47178.0</v>
      </c>
      <c r="B99" s="9" t="s">
        <v>1849</v>
      </c>
    </row>
    <row r="100">
      <c r="A100" s="11">
        <v>47239.0</v>
      </c>
      <c r="B100" s="9" t="s">
        <v>1862</v>
      </c>
    </row>
    <row r="101">
      <c r="A101" s="11">
        <v>47243.0</v>
      </c>
      <c r="B101" s="9" t="s">
        <v>1851</v>
      </c>
    </row>
    <row r="102">
      <c r="A102" s="11">
        <v>47245.0</v>
      </c>
      <c r="B102" s="9" t="s">
        <v>1848</v>
      </c>
    </row>
    <row r="103">
      <c r="A103" s="11">
        <v>47258.0</v>
      </c>
      <c r="B103" s="9" t="s">
        <v>1852</v>
      </c>
    </row>
    <row r="104">
      <c r="A104" s="11">
        <v>47259.0</v>
      </c>
      <c r="B104" s="9" t="s">
        <v>1848</v>
      </c>
    </row>
    <row r="105">
      <c r="A105" s="11">
        <v>47275.0</v>
      </c>
      <c r="B105" s="9" t="s">
        <v>1853</v>
      </c>
    </row>
    <row r="106">
      <c r="A106" s="11">
        <v>47316.0</v>
      </c>
      <c r="B106" s="9" t="s">
        <v>1866</v>
      </c>
    </row>
    <row r="107">
      <c r="A107" s="11">
        <v>47345.0</v>
      </c>
      <c r="B107" s="9" t="s">
        <v>1854</v>
      </c>
    </row>
    <row r="108">
      <c r="A108" s="11">
        <v>47382.0</v>
      </c>
      <c r="B108" s="9" t="s">
        <v>1856</v>
      </c>
    </row>
    <row r="109">
      <c r="A109" s="11">
        <v>47383.0</v>
      </c>
      <c r="B109" s="9" t="s">
        <v>1856</v>
      </c>
    </row>
    <row r="110">
      <c r="A110" s="11">
        <v>47384.0</v>
      </c>
      <c r="B110" s="9" t="s">
        <v>1856</v>
      </c>
    </row>
    <row r="111">
      <c r="A111" s="11">
        <v>47385.0</v>
      </c>
      <c r="B111" s="9" t="s">
        <v>1848</v>
      </c>
    </row>
    <row r="112">
      <c r="A112" s="11">
        <v>47394.0</v>
      </c>
      <c r="B112" s="9" t="s">
        <v>1857</v>
      </c>
    </row>
    <row r="113">
      <c r="A113" s="11">
        <v>47400.0</v>
      </c>
      <c r="B113" s="9" t="s">
        <v>1858</v>
      </c>
    </row>
    <row r="114">
      <c r="A114" s="11">
        <v>47477.0</v>
      </c>
      <c r="B114" s="9" t="s">
        <v>1859</v>
      </c>
    </row>
    <row r="115">
      <c r="A115" s="11">
        <v>47484.0</v>
      </c>
      <c r="B115" s="9" t="s">
        <v>1845</v>
      </c>
    </row>
    <row r="116">
      <c r="A116" s="11">
        <v>47516.0</v>
      </c>
      <c r="B116" s="9" t="s">
        <v>1846</v>
      </c>
    </row>
    <row r="117">
      <c r="A117" s="11">
        <v>47517.0</v>
      </c>
      <c r="B117" s="9" t="s">
        <v>1846</v>
      </c>
    </row>
    <row r="118">
      <c r="A118" s="11">
        <v>47518.0</v>
      </c>
      <c r="B118" s="9" t="s">
        <v>1846</v>
      </c>
    </row>
    <row r="119">
      <c r="A119" s="11">
        <v>47519.0</v>
      </c>
      <c r="B119" s="9" t="s">
        <v>1848</v>
      </c>
    </row>
    <row r="120">
      <c r="A120" s="11">
        <v>47543.0</v>
      </c>
      <c r="B120" s="9" t="s">
        <v>1849</v>
      </c>
    </row>
    <row r="121">
      <c r="A121" s="11">
        <v>47604.0</v>
      </c>
      <c r="B121" s="9" t="s">
        <v>1862</v>
      </c>
    </row>
    <row r="122">
      <c r="A122" s="11">
        <v>47608.0</v>
      </c>
      <c r="B122" s="9" t="s">
        <v>1851</v>
      </c>
    </row>
    <row r="123">
      <c r="A123" s="11">
        <v>47609.0</v>
      </c>
      <c r="B123" s="9" t="s">
        <v>1848</v>
      </c>
    </row>
    <row r="124">
      <c r="A124" s="11">
        <v>47612.0</v>
      </c>
      <c r="B124" s="9" t="s">
        <v>1852</v>
      </c>
    </row>
    <row r="125">
      <c r="A125" s="11">
        <v>47640.0</v>
      </c>
      <c r="B125" s="9" t="s">
        <v>1853</v>
      </c>
    </row>
    <row r="126">
      <c r="A126" s="11">
        <v>47681.0</v>
      </c>
      <c r="B126" s="9" t="s">
        <v>1866</v>
      </c>
    </row>
    <row r="127">
      <c r="A127" s="11">
        <v>47710.0</v>
      </c>
      <c r="B127" s="9" t="s">
        <v>1854</v>
      </c>
    </row>
    <row r="128">
      <c r="A128" s="11">
        <v>47737.0</v>
      </c>
      <c r="B128" s="9" t="s">
        <v>1856</v>
      </c>
    </row>
    <row r="129">
      <c r="A129" s="11">
        <v>47738.0</v>
      </c>
      <c r="B129" s="9" t="s">
        <v>1856</v>
      </c>
    </row>
    <row r="130">
      <c r="A130" s="11">
        <v>47739.0</v>
      </c>
      <c r="B130" s="9" t="s">
        <v>1856</v>
      </c>
    </row>
    <row r="131">
      <c r="A131" s="11">
        <v>47759.0</v>
      </c>
      <c r="B131" s="9" t="s">
        <v>1857</v>
      </c>
    </row>
    <row r="132">
      <c r="A132" s="11">
        <v>47765.0</v>
      </c>
      <c r="B132" s="9" t="s">
        <v>1858</v>
      </c>
    </row>
    <row r="133">
      <c r="A133" s="11">
        <v>47842.0</v>
      </c>
      <c r="B133" s="9" t="s">
        <v>1859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1.38"/>
    <col customWidth="1" min="4" max="4" width="165.88"/>
    <col customWidth="1" min="5" max="6" width="31.38"/>
  </cols>
  <sheetData>
    <row r="1">
      <c r="A1" s="29" t="s">
        <v>222</v>
      </c>
      <c r="B1" s="29" t="s">
        <v>55</v>
      </c>
      <c r="C1" s="29" t="s">
        <v>47</v>
      </c>
      <c r="D1" s="29" t="s">
        <v>1884</v>
      </c>
      <c r="E1" s="29" t="s">
        <v>1885</v>
      </c>
      <c r="F1" s="29" t="s">
        <v>1886</v>
      </c>
      <c r="G1" s="20"/>
      <c r="H1" s="20"/>
      <c r="I1" s="20"/>
      <c r="J1" s="20"/>
      <c r="K1" s="20"/>
      <c r="L1" s="20"/>
      <c r="M1" s="20"/>
      <c r="N1" s="20"/>
      <c r="O1" s="20"/>
      <c r="P1" s="20"/>
      <c r="Q1" s="20"/>
      <c r="R1" s="20"/>
      <c r="S1" s="20"/>
      <c r="T1" s="20"/>
      <c r="U1" s="20"/>
      <c r="V1" s="20"/>
      <c r="W1" s="20"/>
      <c r="X1" s="20"/>
      <c r="Y1" s="20"/>
      <c r="Z1" s="20"/>
    </row>
    <row r="2">
      <c r="A2" s="29" t="s">
        <v>1887</v>
      </c>
      <c r="B2" s="100">
        <v>46106.0</v>
      </c>
      <c r="C2" s="29" t="s">
        <v>1888</v>
      </c>
      <c r="D2" s="34" t="s">
        <v>1890</v>
      </c>
      <c r="E2" s="29" t="s">
        <v>1892</v>
      </c>
      <c r="F2" s="29" t="s">
        <v>814</v>
      </c>
      <c r="G2" s="20"/>
      <c r="H2" s="20"/>
      <c r="I2" s="20"/>
      <c r="J2" s="20"/>
      <c r="K2" s="20"/>
      <c r="L2" s="20"/>
      <c r="M2" s="20"/>
      <c r="N2" s="20"/>
      <c r="O2" s="20"/>
      <c r="P2" s="20"/>
      <c r="Q2" s="20"/>
      <c r="R2" s="20"/>
      <c r="S2" s="20"/>
      <c r="T2" s="20"/>
      <c r="U2" s="20"/>
      <c r="V2" s="20"/>
      <c r="W2" s="20"/>
      <c r="X2" s="20"/>
      <c r="Y2" s="20"/>
      <c r="Z2" s="20"/>
    </row>
    <row r="3">
      <c r="A3" s="29" t="s">
        <v>1893</v>
      </c>
      <c r="B3" s="100">
        <v>46106.0</v>
      </c>
      <c r="C3" s="29" t="s">
        <v>1894</v>
      </c>
      <c r="D3" s="34" t="s">
        <v>1895</v>
      </c>
      <c r="E3" s="29" t="s">
        <v>1892</v>
      </c>
      <c r="F3" s="29" t="s">
        <v>806</v>
      </c>
      <c r="G3" s="20"/>
      <c r="H3" s="20"/>
      <c r="I3" s="20"/>
      <c r="J3" s="20"/>
      <c r="K3" s="20"/>
      <c r="L3" s="20"/>
      <c r="M3" s="20"/>
      <c r="N3" s="20"/>
      <c r="O3" s="20"/>
      <c r="P3" s="20"/>
      <c r="Q3" s="20"/>
      <c r="R3" s="20"/>
      <c r="S3" s="20"/>
      <c r="T3" s="20"/>
      <c r="U3" s="20"/>
      <c r="V3" s="20"/>
      <c r="W3" s="20"/>
      <c r="X3" s="20"/>
      <c r="Y3" s="20"/>
      <c r="Z3" s="20"/>
    </row>
    <row r="4">
      <c r="A4" s="29" t="s">
        <v>1898</v>
      </c>
      <c r="B4" s="100">
        <v>46139.0</v>
      </c>
      <c r="C4" s="29" t="s">
        <v>1899</v>
      </c>
      <c r="D4" s="34" t="s">
        <v>1900</v>
      </c>
      <c r="E4" s="29" t="s">
        <v>1892</v>
      </c>
      <c r="F4" s="29" t="s">
        <v>734</v>
      </c>
      <c r="G4" s="20"/>
      <c r="H4" s="20"/>
      <c r="I4" s="20"/>
      <c r="J4" s="20"/>
      <c r="K4" s="20"/>
      <c r="L4" s="20"/>
      <c r="M4" s="20"/>
      <c r="N4" s="20"/>
      <c r="O4" s="20"/>
      <c r="P4" s="20"/>
      <c r="Q4" s="20"/>
      <c r="R4" s="20"/>
      <c r="S4" s="20"/>
      <c r="T4" s="20"/>
      <c r="U4" s="20"/>
      <c r="V4" s="20"/>
      <c r="W4" s="20"/>
      <c r="X4" s="20"/>
      <c r="Y4" s="20"/>
      <c r="Z4" s="20"/>
    </row>
    <row r="5">
      <c r="A5" s="29" t="s">
        <v>1907</v>
      </c>
      <c r="B5" s="100">
        <v>46147.0</v>
      </c>
      <c r="C5" s="29" t="s">
        <v>1909</v>
      </c>
      <c r="D5" s="34" t="s">
        <v>1911</v>
      </c>
      <c r="E5" s="29" t="s">
        <v>1892</v>
      </c>
      <c r="F5" s="29" t="s">
        <v>721</v>
      </c>
      <c r="G5" s="20"/>
      <c r="H5" s="20"/>
      <c r="I5" s="20"/>
      <c r="J5" s="20"/>
      <c r="K5" s="20"/>
      <c r="L5" s="20"/>
      <c r="M5" s="20"/>
      <c r="N5" s="20"/>
      <c r="O5" s="20"/>
      <c r="P5" s="20"/>
      <c r="Q5" s="20"/>
      <c r="R5" s="20"/>
      <c r="S5" s="20"/>
      <c r="T5" s="20"/>
      <c r="U5" s="20"/>
      <c r="V5" s="20"/>
      <c r="W5" s="20"/>
      <c r="X5" s="20"/>
      <c r="Y5" s="20"/>
      <c r="Z5" s="20"/>
    </row>
    <row r="6">
      <c r="A6" s="20"/>
      <c r="B6" s="20"/>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sheetData>
  <hyperlinks>
    <hyperlink r:id="rId1" ref="D2"/>
    <hyperlink r:id="rId2" ref="D3"/>
    <hyperlink r:id="rId3" ref="D4"/>
    <hyperlink r:id="rId4" ref="D5"/>
  </hyperlinks>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1" t="s">
        <v>525</v>
      </c>
      <c r="B1" s="101" t="s">
        <v>1120</v>
      </c>
      <c r="C1" s="101" t="s">
        <v>525</v>
      </c>
      <c r="D1" s="102" t="s">
        <v>1120</v>
      </c>
    </row>
    <row r="2">
      <c r="A2" s="103" t="s">
        <v>569</v>
      </c>
      <c r="B2" s="104" t="s">
        <v>573</v>
      </c>
      <c r="C2" s="103" t="s">
        <v>569</v>
      </c>
      <c r="D2" s="105" t="s">
        <v>1902</v>
      </c>
    </row>
    <row r="3">
      <c r="A3" s="104" t="s">
        <v>569</v>
      </c>
      <c r="B3" s="104" t="s">
        <v>596</v>
      </c>
      <c r="C3" s="104" t="s">
        <v>569</v>
      </c>
      <c r="D3" s="105" t="s">
        <v>1904</v>
      </c>
    </row>
    <row r="4">
      <c r="A4" s="104" t="s">
        <v>569</v>
      </c>
      <c r="B4" s="104" t="s">
        <v>728</v>
      </c>
      <c r="C4" s="104" t="s">
        <v>569</v>
      </c>
      <c r="D4" s="105" t="s">
        <v>1905</v>
      </c>
    </row>
    <row r="5">
      <c r="A5" s="104" t="s">
        <v>569</v>
      </c>
      <c r="B5" s="104" t="s">
        <v>791</v>
      </c>
      <c r="C5" s="104" t="s">
        <v>569</v>
      </c>
      <c r="D5" s="105" t="s">
        <v>1906</v>
      </c>
    </row>
    <row r="6">
      <c r="A6" s="104" t="s">
        <v>569</v>
      </c>
      <c r="B6" s="104" t="s">
        <v>1908</v>
      </c>
      <c r="C6" s="104" t="s">
        <v>569</v>
      </c>
      <c r="D6" s="105" t="s">
        <v>1910</v>
      </c>
    </row>
    <row r="7">
      <c r="A7" s="106" t="s">
        <v>569</v>
      </c>
      <c r="B7" s="106" t="s">
        <v>1913</v>
      </c>
      <c r="C7" s="106" t="s">
        <v>569</v>
      </c>
      <c r="D7" s="105" t="s">
        <v>1914</v>
      </c>
    </row>
    <row r="8">
      <c r="A8" s="106" t="s">
        <v>569</v>
      </c>
      <c r="B8" s="106" t="s">
        <v>859</v>
      </c>
      <c r="C8" s="106" t="s">
        <v>569</v>
      </c>
      <c r="D8" s="105" t="s">
        <v>1915</v>
      </c>
    </row>
    <row r="9">
      <c r="A9" s="106" t="s">
        <v>569</v>
      </c>
      <c r="B9" s="106" t="s">
        <v>867</v>
      </c>
      <c r="C9" s="106" t="s">
        <v>569</v>
      </c>
      <c r="D9" s="105" t="s">
        <v>1916</v>
      </c>
    </row>
    <row r="10">
      <c r="A10" s="106" t="s">
        <v>569</v>
      </c>
      <c r="B10" s="106" t="s">
        <v>880</v>
      </c>
      <c r="C10" s="106" t="s">
        <v>569</v>
      </c>
      <c r="D10" s="105" t="s">
        <v>1918</v>
      </c>
    </row>
    <row r="11">
      <c r="A11" s="106" t="s">
        <v>569</v>
      </c>
      <c r="B11" s="106" t="s">
        <v>884</v>
      </c>
      <c r="C11" s="106" t="s">
        <v>569</v>
      </c>
      <c r="D11" s="105" t="s">
        <v>1919</v>
      </c>
    </row>
    <row r="12">
      <c r="A12" s="106" t="s">
        <v>569</v>
      </c>
      <c r="B12" s="106" t="s">
        <v>925</v>
      </c>
      <c r="C12" s="106" t="s">
        <v>569</v>
      </c>
      <c r="D12" s="105" t="s">
        <v>1920</v>
      </c>
    </row>
    <row r="13">
      <c r="A13" s="106" t="s">
        <v>569</v>
      </c>
      <c r="B13" s="106" t="s">
        <v>964</v>
      </c>
      <c r="C13" s="106" t="s">
        <v>569</v>
      </c>
      <c r="D13" s="105" t="s">
        <v>1921</v>
      </c>
    </row>
    <row r="14">
      <c r="A14" s="106" t="s">
        <v>569</v>
      </c>
      <c r="B14" s="106" t="s">
        <v>975</v>
      </c>
      <c r="C14" s="106" t="s">
        <v>569</v>
      </c>
      <c r="D14" s="105" t="s">
        <v>1923</v>
      </c>
    </row>
    <row r="15">
      <c r="A15" s="106" t="s">
        <v>569</v>
      </c>
      <c r="B15" s="106" t="s">
        <v>1924</v>
      </c>
      <c r="C15" s="106" t="s">
        <v>569</v>
      </c>
      <c r="D15" s="105" t="s">
        <v>1925</v>
      </c>
    </row>
    <row r="16">
      <c r="A16" s="106" t="s">
        <v>569</v>
      </c>
      <c r="B16" s="106" t="s">
        <v>1039</v>
      </c>
      <c r="C16" s="106" t="s">
        <v>569</v>
      </c>
      <c r="D16" s="105" t="s">
        <v>1926</v>
      </c>
    </row>
    <row r="17">
      <c r="A17" s="106" t="s">
        <v>569</v>
      </c>
      <c r="B17" s="106" t="s">
        <v>1074</v>
      </c>
      <c r="C17" s="106" t="s">
        <v>569</v>
      </c>
      <c r="D17" s="107" t="s">
        <v>1928</v>
      </c>
    </row>
    <row r="18">
      <c r="A18" s="108" t="s">
        <v>1077</v>
      </c>
      <c r="B18" s="106" t="s">
        <v>1929</v>
      </c>
      <c r="C18" s="108" t="s">
        <v>1077</v>
      </c>
      <c r="D18" s="107" t="s">
        <v>1930</v>
      </c>
    </row>
    <row r="19">
      <c r="A19" s="106" t="s">
        <v>1077</v>
      </c>
      <c r="B19" s="106" t="s">
        <v>1096</v>
      </c>
      <c r="C19" s="106" t="s">
        <v>1077</v>
      </c>
      <c r="D19" s="107" t="s">
        <v>1931</v>
      </c>
    </row>
    <row r="20">
      <c r="A20" s="106" t="s">
        <v>1077</v>
      </c>
      <c r="B20" s="106" t="s">
        <v>1206</v>
      </c>
      <c r="C20" s="106" t="s">
        <v>1077</v>
      </c>
      <c r="D20" s="107" t="s">
        <v>1932</v>
      </c>
    </row>
    <row r="21">
      <c r="A21" s="106" t="s">
        <v>1077</v>
      </c>
      <c r="B21" s="106" t="s">
        <v>1261</v>
      </c>
      <c r="C21" s="106" t="s">
        <v>1077</v>
      </c>
      <c r="D21" s="107" t="s">
        <v>1934</v>
      </c>
    </row>
    <row r="22">
      <c r="A22" s="106" t="s">
        <v>1077</v>
      </c>
      <c r="B22" s="106" t="s">
        <v>728</v>
      </c>
      <c r="C22" s="106" t="s">
        <v>1077</v>
      </c>
      <c r="D22" s="107" t="s">
        <v>1935</v>
      </c>
    </row>
    <row r="23">
      <c r="A23" s="106" t="s">
        <v>1077</v>
      </c>
      <c r="B23" s="106" t="s">
        <v>791</v>
      </c>
      <c r="C23" s="106" t="s">
        <v>1077</v>
      </c>
      <c r="D23" s="107" t="s">
        <v>1936</v>
      </c>
    </row>
    <row r="24">
      <c r="A24" s="106" t="s">
        <v>1077</v>
      </c>
      <c r="B24" s="106" t="s">
        <v>1335</v>
      </c>
      <c r="C24" s="108" t="s">
        <v>1118</v>
      </c>
      <c r="D24" s="107" t="s">
        <v>1937</v>
      </c>
    </row>
    <row r="25">
      <c r="A25" s="106" t="s">
        <v>1077</v>
      </c>
      <c r="B25" s="106" t="s">
        <v>1387</v>
      </c>
      <c r="C25" s="107" t="s">
        <v>1118</v>
      </c>
      <c r="D25" s="107" t="s">
        <v>1939</v>
      </c>
    </row>
    <row r="26">
      <c r="A26" s="106" t="s">
        <v>1077</v>
      </c>
      <c r="B26" s="106" t="s">
        <v>1434</v>
      </c>
      <c r="C26" s="107" t="s">
        <v>1118</v>
      </c>
      <c r="D26" s="107" t="s">
        <v>1940</v>
      </c>
    </row>
    <row r="27">
      <c r="A27" s="106" t="s">
        <v>1077</v>
      </c>
      <c r="B27" s="106" t="s">
        <v>1533</v>
      </c>
      <c r="C27" s="107" t="s">
        <v>1118</v>
      </c>
      <c r="D27" s="107" t="s">
        <v>1942</v>
      </c>
    </row>
    <row r="28">
      <c r="A28" s="108" t="s">
        <v>1118</v>
      </c>
      <c r="B28" s="106" t="s">
        <v>714</v>
      </c>
      <c r="C28" s="107" t="s">
        <v>1118</v>
      </c>
      <c r="D28" s="107" t="s">
        <v>1944</v>
      </c>
    </row>
    <row r="29">
      <c r="A29" s="106" t="s">
        <v>1118</v>
      </c>
      <c r="B29" s="106" t="s">
        <v>925</v>
      </c>
      <c r="C29" s="107" t="s">
        <v>1118</v>
      </c>
      <c r="D29" s="107" t="s">
        <v>1945</v>
      </c>
    </row>
    <row r="30">
      <c r="A30" s="106" t="s">
        <v>1118</v>
      </c>
      <c r="B30" s="106" t="s">
        <v>1583</v>
      </c>
      <c r="C30" s="107" t="s">
        <v>1118</v>
      </c>
      <c r="D30" s="107" t="s">
        <v>1946</v>
      </c>
    </row>
    <row r="31">
      <c r="A31" s="106" t="s">
        <v>1118</v>
      </c>
      <c r="B31" s="106" t="s">
        <v>1571</v>
      </c>
      <c r="C31" s="107" t="s">
        <v>1118</v>
      </c>
      <c r="D31" s="107" t="s">
        <v>1947</v>
      </c>
    </row>
    <row r="32">
      <c r="A32" s="106" t="s">
        <v>1118</v>
      </c>
      <c r="B32" s="106" t="s">
        <v>1563</v>
      </c>
      <c r="C32" s="107" t="s">
        <v>1118</v>
      </c>
      <c r="D32" s="107" t="s">
        <v>1950</v>
      </c>
    </row>
    <row r="33">
      <c r="A33" s="106" t="s">
        <v>1118</v>
      </c>
      <c r="B33" s="106" t="s">
        <v>880</v>
      </c>
      <c r="C33" s="107" t="s">
        <v>1118</v>
      </c>
      <c r="D33" s="107" t="s">
        <v>1951</v>
      </c>
    </row>
    <row r="34">
      <c r="A34" s="107" t="s">
        <v>1118</v>
      </c>
      <c r="B34" s="107" t="s">
        <v>728</v>
      </c>
      <c r="C34" s="107" t="s">
        <v>1118</v>
      </c>
      <c r="D34" s="107" t="s">
        <v>1952</v>
      </c>
    </row>
    <row r="35">
      <c r="A35" s="107" t="s">
        <v>1128</v>
      </c>
      <c r="B35" s="107" t="s">
        <v>1913</v>
      </c>
      <c r="C35" s="107" t="s">
        <v>1118</v>
      </c>
      <c r="D35" s="107" t="s">
        <v>1953</v>
      </c>
    </row>
    <row r="36">
      <c r="A36" s="28"/>
      <c r="B36" s="28"/>
      <c r="C36" s="107" t="s">
        <v>1118</v>
      </c>
      <c r="D36" s="107" t="s">
        <v>1954</v>
      </c>
    </row>
    <row r="37">
      <c r="A37" s="28"/>
      <c r="B37" s="28"/>
      <c r="C37" s="107" t="s">
        <v>1118</v>
      </c>
      <c r="D37" s="107" t="s">
        <v>1914</v>
      </c>
    </row>
    <row r="38">
      <c r="A38" s="28"/>
      <c r="B38" s="28"/>
      <c r="C38" s="107" t="s">
        <v>1118</v>
      </c>
      <c r="D38" s="107" t="s">
        <v>1956</v>
      </c>
    </row>
    <row r="39">
      <c r="A39" s="28"/>
      <c r="B39" s="28"/>
      <c r="C39" s="107" t="s">
        <v>1118</v>
      </c>
      <c r="D39" s="107" t="s">
        <v>1593</v>
      </c>
    </row>
    <row r="40">
      <c r="A40" s="28"/>
      <c r="B40" s="28"/>
      <c r="C40" s="107" t="s">
        <v>1118</v>
      </c>
      <c r="D40" s="107" t="s">
        <v>1957</v>
      </c>
    </row>
    <row r="41">
      <c r="A41" s="28"/>
      <c r="B41" s="28"/>
      <c r="C41" s="107" t="s">
        <v>1118</v>
      </c>
      <c r="D41" s="107" t="s">
        <v>1958</v>
      </c>
    </row>
    <row r="42">
      <c r="A42" s="28"/>
      <c r="B42" s="28"/>
      <c r="C42" s="107" t="s">
        <v>1118</v>
      </c>
      <c r="D42" s="107" t="s">
        <v>1960</v>
      </c>
    </row>
    <row r="43">
      <c r="A43" s="28"/>
      <c r="B43" s="28"/>
      <c r="C43" s="107" t="s">
        <v>1118</v>
      </c>
      <c r="D43" s="107" t="s">
        <v>1961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7" max="7" width="47.5"/>
    <col customWidth="1" min="9" max="9" width="47.88"/>
    <col customWidth="1" min="11" max="11" width="57.88"/>
  </cols>
  <sheetData>
    <row r="1" ht="24.0" customHeight="1">
      <c r="A1" s="109" t="s">
        <v>702</v>
      </c>
      <c r="B1" s="109" t="s">
        <v>1962</v>
      </c>
      <c r="C1" s="109" t="s">
        <v>525</v>
      </c>
      <c r="D1" s="109" t="s">
        <v>1266</v>
      </c>
      <c r="E1" s="109" t="s">
        <v>1267</v>
      </c>
      <c r="F1" s="109" t="s">
        <v>1963</v>
      </c>
      <c r="G1" s="109" t="s">
        <v>1964</v>
      </c>
      <c r="H1" s="109" t="s">
        <v>1965</v>
      </c>
      <c r="I1" s="109" t="s">
        <v>1966</v>
      </c>
      <c r="J1" s="109" t="s">
        <v>1967</v>
      </c>
      <c r="K1" s="109" t="s">
        <v>1968</v>
      </c>
    </row>
    <row r="2">
      <c r="A2" s="110">
        <v>46063.34116456019</v>
      </c>
      <c r="B2" s="26" t="s">
        <v>1969</v>
      </c>
      <c r="C2" s="26" t="s">
        <v>1118</v>
      </c>
      <c r="D2" s="26" t="s">
        <v>880</v>
      </c>
      <c r="E2" s="26" t="s">
        <v>1970</v>
      </c>
      <c r="F2" s="26" t="s">
        <v>1971</v>
      </c>
      <c r="G2" s="26" t="s">
        <v>1972</v>
      </c>
      <c r="H2" s="26" t="s">
        <v>1973</v>
      </c>
      <c r="I2" s="26" t="s">
        <v>1974</v>
      </c>
      <c r="J2" s="26" t="s">
        <v>1975</v>
      </c>
      <c r="K2" s="26" t="s">
        <v>1976</v>
      </c>
    </row>
    <row r="3">
      <c r="A3" s="13">
        <v>46064.33507556713</v>
      </c>
      <c r="B3" s="9" t="s">
        <v>1977</v>
      </c>
      <c r="C3" s="9" t="s">
        <v>1118</v>
      </c>
      <c r="D3" s="9" t="s">
        <v>880</v>
      </c>
      <c r="E3" s="9" t="s">
        <v>1462</v>
      </c>
      <c r="F3" s="9" t="s">
        <v>1450</v>
      </c>
      <c r="G3" s="9" t="s">
        <v>1978</v>
      </c>
      <c r="H3" s="9" t="s">
        <v>1979</v>
      </c>
      <c r="I3" s="9" t="s">
        <v>1980</v>
      </c>
      <c r="J3" s="9" t="s">
        <v>1981</v>
      </c>
      <c r="K3" s="9" t="s">
        <v>1982</v>
      </c>
    </row>
    <row r="4">
      <c r="A4" s="13">
        <v>46064.33574459491</v>
      </c>
      <c r="B4" s="9" t="s">
        <v>1977</v>
      </c>
      <c r="C4" s="9" t="s">
        <v>1118</v>
      </c>
      <c r="D4" s="9" t="s">
        <v>880</v>
      </c>
      <c r="E4" s="9" t="s">
        <v>83</v>
      </c>
      <c r="F4" s="9" t="s">
        <v>1441</v>
      </c>
      <c r="G4" s="9" t="s">
        <v>1983</v>
      </c>
      <c r="H4" s="9" t="s">
        <v>1984</v>
      </c>
      <c r="I4" s="9" t="s">
        <v>1985</v>
      </c>
      <c r="J4" s="9" t="s">
        <v>1986</v>
      </c>
      <c r="K4" s="9" t="s">
        <v>1975</v>
      </c>
    </row>
    <row r="5">
      <c r="A5" s="110"/>
      <c r="B5" s="26"/>
      <c r="C5" s="26"/>
      <c r="D5" s="26"/>
      <c r="E5" s="26"/>
      <c r="F5" s="26"/>
      <c r="G5" s="26"/>
      <c r="H5" s="26"/>
      <c r="I5" s="26"/>
      <c r="J5" s="26"/>
      <c r="K5" s="26"/>
    </row>
    <row r="6">
      <c r="A6" s="111"/>
      <c r="B6" s="28"/>
      <c r="C6" s="28"/>
      <c r="D6" s="28"/>
      <c r="E6" s="28"/>
      <c r="F6" s="28"/>
      <c r="G6" s="28"/>
      <c r="H6" s="28"/>
      <c r="I6" s="28"/>
      <c r="J6" s="28"/>
      <c r="K6" s="28"/>
    </row>
    <row r="7">
      <c r="A7" s="13"/>
    </row>
    <row r="8">
      <c r="A8" s="13"/>
    </row>
    <row r="9">
      <c r="A9" s="13"/>
    </row>
    <row r="10">
      <c r="A10" s="111"/>
      <c r="B10" s="28"/>
      <c r="C10" s="28"/>
      <c r="D10" s="28"/>
      <c r="E10" s="28"/>
      <c r="F10" s="28"/>
      <c r="G10" s="28"/>
      <c r="H10" s="28"/>
      <c r="I10" s="28"/>
      <c r="J10" s="28"/>
      <c r="K10" s="28"/>
    </row>
    <row r="11">
      <c r="A11" s="110"/>
      <c r="B11" s="26"/>
      <c r="C11" s="26"/>
      <c r="D11" s="26"/>
      <c r="E11" s="26"/>
      <c r="F11" s="26"/>
      <c r="G11" s="26"/>
      <c r="H11" s="26"/>
      <c r="I11" s="26"/>
      <c r="J11" s="26"/>
      <c r="K11" s="26"/>
    </row>
    <row r="12">
      <c r="A12" s="111"/>
      <c r="B12" s="28"/>
      <c r="C12" s="28"/>
      <c r="D12" s="28"/>
      <c r="E12" s="28"/>
      <c r="F12" s="28"/>
      <c r="G12" s="28"/>
      <c r="H12" s="28"/>
      <c r="I12" s="28"/>
      <c r="J12" s="28"/>
      <c r="K12" s="28"/>
    </row>
    <row r="13">
      <c r="A13" s="110"/>
      <c r="B13" s="26"/>
      <c r="C13" s="26"/>
      <c r="D13" s="26"/>
      <c r="E13" s="26"/>
      <c r="F13" s="26"/>
      <c r="G13" s="26"/>
      <c r="H13" s="26"/>
      <c r="I13" s="26"/>
      <c r="J13" s="26"/>
      <c r="K13" s="26"/>
    </row>
    <row r="14">
      <c r="A14" s="111"/>
      <c r="B14" s="28"/>
      <c r="C14" s="28"/>
      <c r="D14" s="28"/>
      <c r="E14" s="28"/>
      <c r="F14" s="28"/>
      <c r="G14" s="28"/>
      <c r="H14" s="28"/>
      <c r="I14" s="28"/>
      <c r="J14" s="28"/>
      <c r="K14" s="28"/>
    </row>
    <row r="15">
      <c r="A15" s="13"/>
    </row>
    <row r="16">
      <c r="A16" s="13"/>
    </row>
    <row r="17">
      <c r="A17" s="13"/>
    </row>
    <row r="18">
      <c r="A18" s="111"/>
      <c r="B18" s="28"/>
      <c r="C18" s="28"/>
      <c r="D18" s="28"/>
      <c r="E18" s="28"/>
      <c r="F18" s="28"/>
      <c r="G18" s="28"/>
      <c r="H18" s="28"/>
      <c r="I18" s="28"/>
      <c r="J18" s="28"/>
      <c r="K18" s="28"/>
    </row>
    <row r="19">
      <c r="A19" s="110"/>
      <c r="B19" s="26"/>
      <c r="C19" s="26"/>
      <c r="D19" s="26"/>
      <c r="E19" s="26"/>
      <c r="F19" s="26"/>
      <c r="G19" s="26"/>
      <c r="H19" s="26"/>
      <c r="I19" s="26"/>
      <c r="J19" s="26"/>
      <c r="K19" s="26"/>
    </row>
    <row r="20">
      <c r="A20" s="111"/>
      <c r="B20" s="28"/>
      <c r="C20" s="28"/>
      <c r="D20" s="28"/>
      <c r="E20" s="28"/>
      <c r="F20" s="28"/>
      <c r="G20" s="28"/>
      <c r="H20" s="28"/>
      <c r="I20" s="28"/>
      <c r="J20" s="28"/>
      <c r="K20" s="28"/>
    </row>
    <row r="21">
      <c r="A21" s="110"/>
      <c r="B21" s="26"/>
      <c r="C21" s="26"/>
      <c r="D21" s="26"/>
      <c r="E21" s="26"/>
      <c r="F21" s="26"/>
      <c r="G21" s="26"/>
      <c r="H21" s="26"/>
      <c r="I21" s="26"/>
      <c r="J21" s="26"/>
      <c r="K21" s="26"/>
    </row>
    <row r="22">
      <c r="A22" s="111"/>
      <c r="B22" s="28"/>
      <c r="C22" s="28"/>
      <c r="D22" s="28"/>
      <c r="E22" s="28"/>
      <c r="F22" s="28"/>
      <c r="G22" s="28"/>
      <c r="H22" s="28"/>
      <c r="I22" s="28"/>
      <c r="J22" s="28"/>
      <c r="K22" s="28"/>
    </row>
    <row r="23">
      <c r="A23" s="13"/>
    </row>
    <row r="24">
      <c r="A24" s="13"/>
    </row>
    <row r="25">
      <c r="A25" s="13"/>
    </row>
    <row r="26">
      <c r="A26" s="111"/>
      <c r="B26" s="28"/>
      <c r="C26" s="28"/>
      <c r="D26" s="28"/>
      <c r="E26" s="28"/>
      <c r="F26" s="28"/>
      <c r="G26" s="28"/>
      <c r="H26" s="28"/>
      <c r="I26" s="28"/>
      <c r="J26" s="28"/>
      <c r="K26" s="28"/>
    </row>
    <row r="27">
      <c r="A27" s="110"/>
      <c r="B27" s="26"/>
      <c r="C27" s="26"/>
      <c r="D27" s="26"/>
      <c r="E27" s="26"/>
      <c r="F27" s="26"/>
      <c r="G27" s="26"/>
      <c r="H27" s="26"/>
      <c r="I27" s="26"/>
      <c r="J27" s="26"/>
      <c r="K27" s="26"/>
    </row>
    <row r="28">
      <c r="A28" s="111"/>
      <c r="B28" s="28"/>
      <c r="C28" s="28"/>
      <c r="D28" s="28"/>
      <c r="E28" s="28"/>
      <c r="F28" s="28"/>
      <c r="G28" s="28"/>
      <c r="H28" s="28"/>
      <c r="I28" s="28"/>
      <c r="J28" s="28"/>
      <c r="K28" s="28"/>
    </row>
    <row r="29">
      <c r="A29" s="110"/>
      <c r="B29" s="26"/>
      <c r="C29" s="26"/>
      <c r="D29" s="26"/>
      <c r="E29" s="26"/>
      <c r="F29" s="26"/>
      <c r="G29" s="26"/>
      <c r="H29" s="26"/>
      <c r="I29" s="26"/>
      <c r="J29" s="26"/>
      <c r="K29" s="26"/>
    </row>
    <row r="30">
      <c r="A30" s="111"/>
      <c r="B30" s="28"/>
      <c r="C30" s="28"/>
      <c r="D30" s="28"/>
      <c r="E30" s="28"/>
      <c r="F30" s="28"/>
      <c r="G30" s="28"/>
      <c r="H30" s="28"/>
      <c r="I30" s="28"/>
      <c r="J30" s="28"/>
      <c r="K30" s="28"/>
    </row>
    <row r="31">
      <c r="A31" s="13"/>
    </row>
    <row r="32">
      <c r="A32" s="13"/>
    </row>
    <row r="33">
      <c r="A33" s="13"/>
    </row>
    <row r="34">
      <c r="A34" s="111"/>
      <c r="B34" s="28"/>
      <c r="C34" s="28"/>
      <c r="D34" s="28"/>
      <c r="E34" s="28"/>
      <c r="F34" s="28"/>
      <c r="G34" s="28"/>
      <c r="H34" s="28"/>
      <c r="I34" s="28"/>
      <c r="J34" s="28"/>
      <c r="K34" s="28"/>
    </row>
    <row r="35">
      <c r="A35" s="110"/>
      <c r="B35" s="26"/>
      <c r="C35" s="26"/>
      <c r="D35" s="26"/>
      <c r="E35" s="26"/>
      <c r="F35" s="26"/>
      <c r="G35" s="26"/>
      <c r="H35" s="26"/>
      <c r="I35" s="26"/>
      <c r="J35" s="26"/>
      <c r="K35" s="26"/>
    </row>
    <row r="36">
      <c r="A36" s="111"/>
      <c r="B36" s="28"/>
      <c r="C36" s="28"/>
      <c r="D36" s="28"/>
      <c r="E36" s="28"/>
      <c r="F36" s="28"/>
      <c r="G36" s="28"/>
      <c r="H36" s="28"/>
      <c r="I36" s="28"/>
      <c r="J36" s="28"/>
      <c r="K36" s="28"/>
    </row>
    <row r="37">
      <c r="A37" s="110"/>
      <c r="B37" s="26"/>
      <c r="C37" s="26"/>
      <c r="D37" s="26"/>
      <c r="E37" s="26"/>
      <c r="F37" s="26"/>
      <c r="G37" s="26"/>
      <c r="H37" s="26"/>
      <c r="I37" s="26"/>
      <c r="J37" s="26"/>
      <c r="K37" s="26"/>
    </row>
    <row r="38">
      <c r="A38" s="111"/>
      <c r="B38" s="28"/>
      <c r="C38" s="28"/>
      <c r="D38" s="28"/>
      <c r="E38" s="28"/>
      <c r="F38" s="28"/>
      <c r="G38" s="28"/>
      <c r="H38" s="28"/>
      <c r="I38" s="28"/>
      <c r="J38" s="28"/>
      <c r="K38" s="28"/>
    </row>
    <row r="39">
      <c r="A39" s="13"/>
    </row>
    <row r="40">
      <c r="A40" s="13"/>
    </row>
    <row r="41">
      <c r="A41" s="13"/>
    </row>
    <row r="42">
      <c r="A42" s="111"/>
      <c r="B42" s="28"/>
      <c r="C42" s="28"/>
      <c r="D42" s="28"/>
      <c r="E42" s="28"/>
      <c r="F42" s="28"/>
      <c r="G42" s="28"/>
      <c r="H42" s="28"/>
      <c r="I42" s="28"/>
      <c r="J42" s="28"/>
      <c r="K42" s="28"/>
    </row>
    <row r="43">
      <c r="A43" s="110"/>
      <c r="B43" s="26"/>
      <c r="C43" s="26"/>
      <c r="D43" s="26"/>
      <c r="E43" s="26"/>
      <c r="F43" s="26"/>
      <c r="G43" s="26"/>
      <c r="H43" s="26"/>
      <c r="I43" s="26"/>
      <c r="J43" s="26"/>
      <c r="K43" s="26"/>
    </row>
    <row r="44">
      <c r="A44" s="111"/>
      <c r="B44" s="28"/>
      <c r="C44" s="28"/>
      <c r="D44" s="28"/>
      <c r="E44" s="28"/>
      <c r="F44" s="28"/>
      <c r="G44" s="28"/>
      <c r="H44" s="28"/>
      <c r="I44" s="28"/>
      <c r="J44" s="28"/>
      <c r="K44" s="28"/>
    </row>
    <row r="45">
      <c r="A45" s="110"/>
      <c r="B45" s="26"/>
      <c r="C45" s="26"/>
      <c r="D45" s="26"/>
      <c r="E45" s="26"/>
      <c r="F45" s="26"/>
      <c r="G45" s="26"/>
      <c r="H45" s="26"/>
      <c r="I45" s="26"/>
      <c r="J45" s="26"/>
      <c r="K45" s="26"/>
    </row>
    <row r="46">
      <c r="A46" s="111"/>
      <c r="B46" s="28"/>
      <c r="C46" s="28"/>
      <c r="D46" s="28"/>
      <c r="E46" s="28"/>
      <c r="F46" s="28"/>
      <c r="G46" s="28"/>
      <c r="H46" s="28"/>
      <c r="I46" s="28"/>
      <c r="J46" s="28"/>
      <c r="K46" s="28"/>
    </row>
    <row r="47">
      <c r="A47" s="13"/>
    </row>
    <row r="48">
      <c r="A48" s="13"/>
    </row>
    <row r="49">
      <c r="A49" s="13"/>
    </row>
    <row r="50">
      <c r="A50" s="111"/>
      <c r="B50" s="28"/>
      <c r="C50" s="28"/>
      <c r="D50" s="28"/>
      <c r="E50" s="28"/>
      <c r="F50" s="28"/>
      <c r="G50" s="28"/>
      <c r="H50" s="28"/>
      <c r="I50" s="28"/>
      <c r="J50" s="28"/>
      <c r="K50" s="28"/>
    </row>
    <row r="51">
      <c r="A51" s="110"/>
      <c r="B51" s="26"/>
      <c r="C51" s="26"/>
      <c r="D51" s="26"/>
      <c r="E51" s="26"/>
      <c r="F51" s="26"/>
      <c r="G51" s="26"/>
      <c r="H51" s="26"/>
      <c r="I51" s="26"/>
      <c r="J51" s="26"/>
      <c r="K51" s="26"/>
    </row>
    <row r="52">
      <c r="A52" s="111"/>
      <c r="B52" s="28"/>
      <c r="C52" s="28"/>
      <c r="D52" s="28"/>
      <c r="E52" s="28"/>
      <c r="F52" s="28"/>
      <c r="G52" s="28"/>
      <c r="H52" s="28"/>
      <c r="I52" s="28"/>
      <c r="J52" s="28"/>
      <c r="K52" s="28"/>
    </row>
    <row r="53">
      <c r="A53" s="110"/>
      <c r="B53" s="26"/>
      <c r="C53" s="26"/>
      <c r="D53" s="26"/>
      <c r="E53" s="26"/>
      <c r="F53" s="26"/>
      <c r="G53" s="26"/>
      <c r="H53" s="26"/>
      <c r="I53" s="26"/>
      <c r="J53" s="26"/>
      <c r="K53" s="26"/>
    </row>
    <row r="54">
      <c r="A54" s="111"/>
      <c r="B54" s="28"/>
      <c r="C54" s="28"/>
      <c r="D54" s="28"/>
      <c r="E54" s="28"/>
      <c r="F54" s="28"/>
      <c r="G54" s="28"/>
      <c r="H54" s="28"/>
      <c r="I54" s="28"/>
      <c r="J54" s="28"/>
      <c r="K54" s="28"/>
    </row>
    <row r="55">
      <c r="A55" s="13"/>
    </row>
    <row r="56">
      <c r="A56" s="13"/>
    </row>
    <row r="57">
      <c r="A57" s="13"/>
    </row>
    <row r="58">
      <c r="A58" s="111"/>
      <c r="B58" s="28"/>
      <c r="C58" s="28"/>
      <c r="D58" s="28"/>
      <c r="E58" s="28"/>
      <c r="F58" s="28"/>
      <c r="G58" s="28"/>
      <c r="H58" s="28"/>
      <c r="I58" s="28"/>
      <c r="J58" s="28"/>
      <c r="K58" s="28"/>
    </row>
    <row r="59">
      <c r="A59" s="110"/>
      <c r="B59" s="26"/>
      <c r="C59" s="26"/>
      <c r="D59" s="26"/>
      <c r="E59" s="26"/>
      <c r="F59" s="26"/>
      <c r="G59" s="26"/>
      <c r="H59" s="26"/>
      <c r="I59" s="26"/>
      <c r="J59" s="26"/>
      <c r="K59" s="26"/>
    </row>
    <row r="60">
      <c r="A60" s="111"/>
      <c r="B60" s="28"/>
      <c r="C60" s="28"/>
      <c r="D60" s="28"/>
      <c r="E60" s="28"/>
      <c r="F60" s="28"/>
      <c r="G60" s="28"/>
      <c r="H60" s="28"/>
      <c r="I60" s="28"/>
      <c r="J60" s="28"/>
      <c r="K60" s="28"/>
    </row>
    <row r="61">
      <c r="A61" s="110"/>
      <c r="B61" s="26"/>
      <c r="C61" s="26"/>
      <c r="D61" s="26"/>
      <c r="E61" s="26"/>
      <c r="F61" s="26"/>
      <c r="G61" s="26"/>
      <c r="H61" s="26"/>
      <c r="I61" s="26"/>
      <c r="J61" s="26"/>
      <c r="K61" s="26"/>
    </row>
    <row r="62">
      <c r="A62" s="111"/>
      <c r="B62" s="28"/>
      <c r="C62" s="28"/>
      <c r="D62" s="28"/>
      <c r="E62" s="28"/>
      <c r="F62" s="28"/>
      <c r="G62" s="28"/>
      <c r="H62" s="28"/>
      <c r="I62" s="28"/>
      <c r="J62" s="28"/>
      <c r="K62" s="28"/>
    </row>
    <row r="63">
      <c r="A63" s="13"/>
    </row>
    <row r="64">
      <c r="A64" s="13"/>
    </row>
    <row r="65">
      <c r="A65" s="13"/>
    </row>
    <row r="66">
      <c r="A66" s="111"/>
      <c r="B66" s="28"/>
      <c r="C66" s="28"/>
      <c r="D66" s="28"/>
      <c r="E66" s="28"/>
      <c r="F66" s="28"/>
      <c r="G66" s="28"/>
      <c r="H66" s="28"/>
      <c r="I66" s="28"/>
      <c r="J66" s="28"/>
      <c r="K66" s="28"/>
    </row>
    <row r="67">
      <c r="A67" s="110"/>
      <c r="B67" s="26"/>
      <c r="C67" s="26"/>
      <c r="D67" s="26"/>
      <c r="E67" s="26"/>
      <c r="F67" s="26"/>
      <c r="G67" s="26"/>
      <c r="H67" s="26"/>
      <c r="I67" s="26"/>
      <c r="J67" s="26"/>
      <c r="K67" s="26"/>
    </row>
    <row r="68">
      <c r="A68" s="111"/>
      <c r="B68" s="28"/>
      <c r="C68" s="28"/>
      <c r="D68" s="28"/>
      <c r="E68" s="28"/>
      <c r="F68" s="28"/>
      <c r="G68" s="28"/>
      <c r="H68" s="28"/>
      <c r="I68" s="28"/>
      <c r="J68" s="28"/>
      <c r="K68" s="28"/>
    </row>
    <row r="69">
      <c r="A69" s="110"/>
      <c r="B69" s="26"/>
      <c r="C69" s="26"/>
      <c r="D69" s="26"/>
      <c r="E69" s="26"/>
      <c r="F69" s="26"/>
      <c r="G69" s="26"/>
      <c r="H69" s="26"/>
      <c r="I69" s="26"/>
      <c r="J69" s="26"/>
      <c r="K69" s="26"/>
    </row>
    <row r="70">
      <c r="A70" s="111"/>
      <c r="B70" s="28"/>
      <c r="C70" s="28"/>
      <c r="D70" s="28"/>
      <c r="E70" s="28"/>
      <c r="F70" s="28"/>
      <c r="G70" s="28"/>
      <c r="H70" s="28"/>
      <c r="I70" s="28"/>
      <c r="J70" s="28"/>
      <c r="K70" s="28"/>
    </row>
    <row r="71">
      <c r="A71" s="13"/>
    </row>
    <row r="72">
      <c r="A72" s="13"/>
    </row>
    <row r="73">
      <c r="A73" s="13"/>
    </row>
    <row r="74">
      <c r="A74" s="111"/>
      <c r="B74" s="28"/>
      <c r="C74" s="28"/>
      <c r="D74" s="28"/>
      <c r="E74" s="28"/>
      <c r="F74" s="28"/>
      <c r="G74" s="28"/>
      <c r="H74" s="28"/>
      <c r="I74" s="28"/>
      <c r="J74" s="28"/>
      <c r="K74" s="28"/>
    </row>
    <row r="75">
      <c r="A75" s="110"/>
      <c r="B75" s="26"/>
      <c r="C75" s="26"/>
      <c r="D75" s="26"/>
      <c r="E75" s="26"/>
      <c r="F75" s="26"/>
      <c r="G75" s="26"/>
      <c r="H75" s="26"/>
      <c r="I75" s="26"/>
      <c r="J75" s="26"/>
      <c r="K75" s="26"/>
    </row>
    <row r="76">
      <c r="A76" s="111"/>
      <c r="B76" s="28"/>
      <c r="C76" s="28"/>
      <c r="D76" s="28"/>
      <c r="E76" s="28"/>
      <c r="F76" s="28"/>
      <c r="G76" s="28"/>
      <c r="H76" s="28"/>
      <c r="I76" s="28"/>
      <c r="J76" s="28"/>
      <c r="K76" s="28"/>
    </row>
    <row r="77">
      <c r="A77" s="110"/>
      <c r="B77" s="26"/>
      <c r="C77" s="26"/>
      <c r="D77" s="26"/>
      <c r="E77" s="26"/>
      <c r="F77" s="26"/>
      <c r="G77" s="26"/>
      <c r="H77" s="26"/>
      <c r="I77" s="26"/>
      <c r="J77" s="26"/>
      <c r="K77" s="26"/>
    </row>
    <row r="78">
      <c r="A78" s="111"/>
      <c r="B78" s="28"/>
      <c r="C78" s="28"/>
      <c r="D78" s="28"/>
      <c r="E78" s="28"/>
      <c r="F78" s="28"/>
      <c r="G78" s="28"/>
      <c r="H78" s="28"/>
      <c r="I78" s="28"/>
      <c r="J78" s="28"/>
      <c r="K78" s="28"/>
    </row>
    <row r="79">
      <c r="A79" s="13"/>
    </row>
    <row r="80">
      <c r="A80" s="13"/>
    </row>
    <row r="81">
      <c r="A81" s="13"/>
    </row>
    <row r="82">
      <c r="A82" s="111"/>
      <c r="B82" s="28"/>
      <c r="C82" s="28"/>
      <c r="D82" s="28"/>
      <c r="E82" s="28"/>
      <c r="F82" s="28"/>
      <c r="G82" s="28"/>
      <c r="H82" s="28"/>
      <c r="I82" s="28"/>
      <c r="J82" s="28"/>
      <c r="K82" s="28"/>
    </row>
    <row r="83">
      <c r="A83" s="110"/>
      <c r="B83" s="26"/>
      <c r="C83" s="26"/>
      <c r="D83" s="26"/>
      <c r="E83" s="26"/>
      <c r="F83" s="26"/>
      <c r="G83" s="26"/>
      <c r="H83" s="26"/>
      <c r="I83" s="26"/>
      <c r="J83" s="26"/>
      <c r="K83" s="26"/>
    </row>
    <row r="84">
      <c r="A84" s="111"/>
      <c r="B84" s="28"/>
      <c r="C84" s="28"/>
      <c r="D84" s="28"/>
      <c r="E84" s="28"/>
      <c r="F84" s="28"/>
      <c r="G84" s="28"/>
      <c r="H84" s="28"/>
      <c r="I84" s="28"/>
      <c r="J84" s="28"/>
      <c r="K84" s="28"/>
    </row>
    <row r="85">
      <c r="A85" s="110"/>
      <c r="B85" s="26"/>
      <c r="C85" s="26"/>
      <c r="D85" s="26"/>
      <c r="E85" s="26"/>
      <c r="F85" s="26"/>
      <c r="G85" s="26"/>
      <c r="H85" s="26"/>
      <c r="I85" s="26"/>
      <c r="J85" s="26"/>
      <c r="K85" s="26"/>
    </row>
    <row r="86">
      <c r="A86" s="111"/>
      <c r="B86" s="28"/>
      <c r="C86" s="28"/>
      <c r="D86" s="28"/>
      <c r="E86" s="28"/>
      <c r="F86" s="28"/>
      <c r="G86" s="28"/>
      <c r="H86" s="28"/>
      <c r="I86" s="28"/>
      <c r="J86" s="28"/>
      <c r="K86" s="28"/>
    </row>
    <row r="87">
      <c r="A87" s="13"/>
    </row>
    <row r="88">
      <c r="A88" s="13"/>
    </row>
    <row r="89">
      <c r="A89" s="13"/>
    </row>
    <row r="90">
      <c r="A90" s="111"/>
      <c r="B90" s="28"/>
      <c r="C90" s="28"/>
      <c r="D90" s="28"/>
      <c r="E90" s="28"/>
      <c r="F90" s="28"/>
      <c r="G90" s="28"/>
      <c r="H90" s="28"/>
      <c r="I90" s="28"/>
      <c r="J90" s="28"/>
      <c r="K90" s="28"/>
    </row>
    <row r="91">
      <c r="A91" s="110"/>
      <c r="B91" s="26"/>
      <c r="C91" s="26"/>
      <c r="D91" s="26"/>
      <c r="E91" s="26"/>
      <c r="F91" s="26"/>
      <c r="G91" s="26"/>
      <c r="H91" s="26"/>
      <c r="I91" s="26"/>
      <c r="J91" s="26"/>
      <c r="K91" s="26"/>
    </row>
    <row r="92">
      <c r="A92" s="111"/>
      <c r="B92" s="28"/>
      <c r="C92" s="28"/>
      <c r="D92" s="28"/>
      <c r="E92" s="28"/>
      <c r="F92" s="28"/>
      <c r="G92" s="28"/>
      <c r="H92" s="28"/>
      <c r="I92" s="28"/>
      <c r="J92" s="28"/>
      <c r="K92" s="28"/>
    </row>
    <row r="93">
      <c r="A93" s="110"/>
      <c r="B93" s="26"/>
      <c r="C93" s="26"/>
      <c r="D93" s="26"/>
      <c r="E93" s="26"/>
      <c r="F93" s="26"/>
      <c r="G93" s="26"/>
      <c r="H93" s="26"/>
      <c r="I93" s="26"/>
      <c r="J93" s="26"/>
      <c r="K93" s="26"/>
    </row>
    <row r="94">
      <c r="A94" s="111"/>
      <c r="B94" s="28"/>
      <c r="C94" s="28"/>
      <c r="D94" s="28"/>
      <c r="E94" s="28"/>
      <c r="F94" s="28"/>
      <c r="G94" s="28"/>
      <c r="H94" s="28"/>
      <c r="I94" s="28"/>
      <c r="J94" s="28"/>
      <c r="K94" s="28"/>
    </row>
    <row r="95">
      <c r="A95" s="13"/>
    </row>
    <row r="96">
      <c r="A96" s="13"/>
    </row>
    <row r="97">
      <c r="A97" s="13"/>
    </row>
    <row r="98">
      <c r="A98" s="111"/>
      <c r="B98" s="28"/>
      <c r="C98" s="28"/>
      <c r="D98" s="28"/>
      <c r="E98" s="28"/>
      <c r="F98" s="28"/>
      <c r="G98" s="28"/>
      <c r="H98" s="28"/>
      <c r="I98" s="28"/>
      <c r="J98" s="28"/>
      <c r="K98" s="28"/>
    </row>
    <row r="99">
      <c r="A99" s="110"/>
      <c r="B99" s="26"/>
      <c r="C99" s="26"/>
      <c r="D99" s="26"/>
      <c r="E99" s="26"/>
      <c r="F99" s="26"/>
      <c r="G99" s="26"/>
      <c r="H99" s="26"/>
      <c r="I99" s="26"/>
      <c r="J99" s="26"/>
      <c r="K99" s="26"/>
    </row>
    <row r="100">
      <c r="A100" s="111"/>
      <c r="B100" s="28"/>
      <c r="C100" s="28"/>
      <c r="D100" s="28"/>
      <c r="E100" s="28"/>
      <c r="F100" s="28"/>
      <c r="G100" s="28"/>
      <c r="H100" s="28"/>
      <c r="I100" s="28"/>
      <c r="J100" s="28"/>
      <c r="K100" s="28"/>
    </row>
    <row r="101">
      <c r="A101" s="110"/>
      <c r="B101" s="26"/>
      <c r="C101" s="26"/>
      <c r="D101" s="26"/>
      <c r="E101" s="26"/>
      <c r="F101" s="26"/>
      <c r="G101" s="26"/>
      <c r="H101" s="26"/>
      <c r="I101" s="26"/>
      <c r="J101" s="26"/>
      <c r="K101" s="26"/>
    </row>
    <row r="102">
      <c r="A102" s="111"/>
      <c r="B102" s="28"/>
      <c r="C102" s="28"/>
      <c r="D102" s="28"/>
      <c r="E102" s="28"/>
      <c r="F102" s="28"/>
      <c r="G102" s="28"/>
      <c r="H102" s="28"/>
      <c r="I102" s="28"/>
      <c r="J102" s="28"/>
      <c r="K102" s="28"/>
    </row>
    <row r="103">
      <c r="A103" s="13"/>
    </row>
    <row r="104">
      <c r="A104" s="13"/>
    </row>
    <row r="105">
      <c r="A105" s="13"/>
    </row>
    <row r="106">
      <c r="A106" s="111"/>
      <c r="B106" s="28"/>
      <c r="C106" s="28"/>
      <c r="D106" s="28"/>
      <c r="E106" s="28"/>
      <c r="F106" s="28"/>
      <c r="G106" s="28"/>
      <c r="H106" s="28"/>
      <c r="I106" s="28"/>
      <c r="J106" s="28"/>
      <c r="K106" s="28"/>
    </row>
    <row r="107">
      <c r="A107" s="110"/>
      <c r="B107" s="26"/>
      <c r="C107" s="26"/>
      <c r="D107" s="26"/>
      <c r="E107" s="26"/>
      <c r="F107" s="26"/>
      <c r="G107" s="26"/>
      <c r="H107" s="26"/>
      <c r="I107" s="26"/>
      <c r="J107" s="26"/>
      <c r="K107" s="26"/>
    </row>
    <row r="108">
      <c r="A108" s="111"/>
      <c r="B108" s="28"/>
      <c r="C108" s="28"/>
      <c r="D108" s="28"/>
      <c r="E108" s="28"/>
      <c r="F108" s="28"/>
      <c r="G108" s="28"/>
      <c r="H108" s="28"/>
      <c r="I108" s="28"/>
      <c r="J108" s="28"/>
      <c r="K108" s="28"/>
    </row>
    <row r="109">
      <c r="A109" s="110"/>
      <c r="B109" s="26"/>
      <c r="C109" s="26"/>
      <c r="D109" s="26"/>
      <c r="E109" s="26"/>
      <c r="F109" s="26"/>
      <c r="G109" s="26"/>
      <c r="H109" s="26"/>
      <c r="I109" s="26"/>
      <c r="J109" s="26"/>
      <c r="K109" s="26"/>
    </row>
    <row r="110">
      <c r="A110" s="111"/>
      <c r="B110" s="28"/>
      <c r="C110" s="28"/>
      <c r="D110" s="28"/>
      <c r="E110" s="28"/>
      <c r="F110" s="28"/>
      <c r="G110" s="28"/>
      <c r="H110" s="28"/>
      <c r="I110" s="28"/>
      <c r="J110" s="28"/>
      <c r="K110" s="28"/>
    </row>
    <row r="111">
      <c r="A111" s="13"/>
    </row>
    <row r="112">
      <c r="A112" s="13"/>
    </row>
    <row r="113">
      <c r="A113" s="13"/>
    </row>
    <row r="114">
      <c r="A114" s="111"/>
      <c r="B114" s="28"/>
      <c r="C114" s="28"/>
      <c r="D114" s="28"/>
      <c r="E114" s="28"/>
      <c r="F114" s="28"/>
      <c r="G114" s="28"/>
      <c r="H114" s="28"/>
      <c r="I114" s="28"/>
      <c r="J114" s="28"/>
      <c r="K114" s="28"/>
    </row>
    <row r="115">
      <c r="A115" s="110"/>
      <c r="B115" s="26"/>
      <c r="C115" s="26"/>
      <c r="D115" s="26"/>
      <c r="E115" s="26"/>
      <c r="F115" s="26"/>
      <c r="G115" s="26"/>
      <c r="H115" s="26"/>
      <c r="I115" s="26"/>
      <c r="J115" s="26"/>
      <c r="K115" s="26"/>
    </row>
    <row r="116">
      <c r="A116" s="111"/>
      <c r="B116" s="28"/>
      <c r="C116" s="28"/>
      <c r="D116" s="28"/>
      <c r="E116" s="28"/>
      <c r="F116" s="28"/>
      <c r="G116" s="28"/>
      <c r="H116" s="28"/>
      <c r="I116" s="28"/>
      <c r="J116" s="28"/>
      <c r="K116" s="28"/>
    </row>
    <row r="117">
      <c r="A117" s="110"/>
      <c r="B117" s="26"/>
      <c r="C117" s="26"/>
      <c r="D117" s="26"/>
      <c r="E117" s="26"/>
      <c r="F117" s="26"/>
      <c r="G117" s="26"/>
      <c r="H117" s="26"/>
      <c r="I117" s="26"/>
      <c r="J117" s="26"/>
      <c r="K117" s="26"/>
    </row>
    <row r="118">
      <c r="A118" s="111"/>
      <c r="B118" s="28"/>
      <c r="C118" s="28"/>
      <c r="D118" s="28"/>
      <c r="E118" s="28"/>
      <c r="F118" s="28"/>
      <c r="G118" s="28"/>
      <c r="H118" s="28"/>
      <c r="I118" s="28"/>
      <c r="J118" s="28"/>
      <c r="K118" s="28"/>
    </row>
    <row r="119">
      <c r="A119" s="13"/>
    </row>
    <row r="120">
      <c r="A120" s="13"/>
    </row>
    <row r="121">
      <c r="A121" s="13"/>
    </row>
    <row r="122">
      <c r="A122" s="111"/>
      <c r="B122" s="28"/>
      <c r="C122" s="28"/>
      <c r="D122" s="28"/>
      <c r="E122" s="28"/>
      <c r="F122" s="28"/>
      <c r="G122" s="28"/>
      <c r="H122" s="28"/>
      <c r="I122" s="28"/>
      <c r="J122" s="28"/>
      <c r="K122" s="28"/>
    </row>
    <row r="123">
      <c r="A123" s="110"/>
      <c r="B123" s="26"/>
      <c r="C123" s="26"/>
      <c r="D123" s="26"/>
      <c r="E123" s="26"/>
      <c r="F123" s="26"/>
      <c r="G123" s="26"/>
      <c r="H123" s="26"/>
      <c r="I123" s="26"/>
      <c r="J123" s="26"/>
      <c r="K123" s="26"/>
    </row>
    <row r="124">
      <c r="A124" s="111"/>
      <c r="B124" s="28"/>
      <c r="C124" s="28"/>
      <c r="D124" s="28"/>
      <c r="E124" s="28"/>
      <c r="F124" s="28"/>
      <c r="G124" s="28"/>
      <c r="H124" s="28"/>
      <c r="I124" s="28"/>
      <c r="J124" s="28"/>
      <c r="K124" s="28"/>
    </row>
    <row r="125">
      <c r="A125" s="110"/>
      <c r="B125" s="26"/>
      <c r="C125" s="26"/>
      <c r="D125" s="26"/>
      <c r="E125" s="26"/>
      <c r="F125" s="26"/>
      <c r="G125" s="26"/>
      <c r="H125" s="26"/>
      <c r="I125" s="26"/>
      <c r="J125" s="26"/>
      <c r="K125" s="26"/>
    </row>
    <row r="126">
      <c r="A126" s="111"/>
      <c r="B126" s="28"/>
      <c r="C126" s="28"/>
      <c r="D126" s="28"/>
      <c r="E126" s="28"/>
      <c r="F126" s="28"/>
      <c r="G126" s="28"/>
      <c r="H126" s="28"/>
      <c r="I126" s="28"/>
      <c r="J126" s="28"/>
      <c r="K126" s="28"/>
    </row>
    <row r="127">
      <c r="A127" s="13"/>
    </row>
    <row r="128">
      <c r="A128" s="13"/>
    </row>
    <row r="129">
      <c r="A129" s="13"/>
    </row>
    <row r="130">
      <c r="A130" s="111"/>
      <c r="B130" s="28"/>
      <c r="C130" s="28"/>
      <c r="D130" s="28"/>
      <c r="E130" s="28"/>
      <c r="F130" s="28"/>
      <c r="G130" s="28"/>
      <c r="H130" s="28"/>
      <c r="I130" s="28"/>
      <c r="J130" s="28"/>
      <c r="K130" s="28"/>
    </row>
    <row r="131">
      <c r="A131" s="110"/>
      <c r="B131" s="26"/>
      <c r="C131" s="26"/>
      <c r="D131" s="26"/>
      <c r="E131" s="26"/>
      <c r="F131" s="26"/>
      <c r="G131" s="26"/>
      <c r="H131" s="26"/>
      <c r="I131" s="26"/>
      <c r="J131" s="26"/>
      <c r="K131" s="26"/>
    </row>
    <row r="132">
      <c r="A132" s="111"/>
      <c r="B132" s="28"/>
      <c r="C132" s="28"/>
      <c r="D132" s="28"/>
      <c r="E132" s="28"/>
      <c r="F132" s="28"/>
      <c r="G132" s="28"/>
      <c r="H132" s="28"/>
      <c r="I132" s="28"/>
      <c r="J132" s="28"/>
      <c r="K132" s="28"/>
    </row>
    <row r="133">
      <c r="A133" s="110"/>
      <c r="B133" s="26"/>
      <c r="C133" s="26"/>
      <c r="D133" s="26"/>
      <c r="E133" s="26"/>
      <c r="F133" s="26"/>
      <c r="G133" s="26"/>
      <c r="H133" s="26"/>
      <c r="I133" s="26"/>
      <c r="J133" s="26"/>
      <c r="K133" s="26"/>
    </row>
    <row r="134">
      <c r="A134" s="111"/>
      <c r="B134" s="28"/>
      <c r="C134" s="28"/>
      <c r="D134" s="28"/>
      <c r="E134" s="28"/>
      <c r="F134" s="28"/>
      <c r="G134" s="28"/>
      <c r="H134" s="28"/>
      <c r="I134" s="28"/>
      <c r="J134" s="28"/>
      <c r="K134" s="28"/>
    </row>
    <row r="135">
      <c r="A135" s="13"/>
    </row>
    <row r="136">
      <c r="A136" s="13"/>
    </row>
    <row r="137">
      <c r="A137" s="13"/>
    </row>
    <row r="138">
      <c r="A138" s="111"/>
      <c r="B138" s="28"/>
      <c r="C138" s="28"/>
      <c r="D138" s="28"/>
      <c r="E138" s="28"/>
      <c r="F138" s="28"/>
      <c r="G138" s="28"/>
      <c r="H138" s="28"/>
      <c r="I138" s="28"/>
      <c r="J138" s="28"/>
      <c r="K138" s="28"/>
    </row>
    <row r="139">
      <c r="A139" s="110"/>
      <c r="B139" s="26"/>
      <c r="C139" s="26"/>
      <c r="D139" s="26"/>
      <c r="E139" s="26"/>
      <c r="F139" s="26"/>
      <c r="G139" s="26"/>
      <c r="H139" s="26"/>
      <c r="I139" s="26"/>
      <c r="J139" s="26"/>
      <c r="K139" s="26"/>
    </row>
    <row r="140">
      <c r="A140" s="111"/>
      <c r="B140" s="28"/>
      <c r="C140" s="28"/>
      <c r="D140" s="28"/>
      <c r="E140" s="28"/>
      <c r="F140" s="28"/>
      <c r="G140" s="28"/>
      <c r="H140" s="28"/>
      <c r="I140" s="28"/>
      <c r="J140" s="28"/>
      <c r="K140" s="28"/>
    </row>
    <row r="141">
      <c r="A141" s="110"/>
      <c r="B141" s="26"/>
      <c r="C141" s="26"/>
      <c r="D141" s="26"/>
      <c r="E141" s="26"/>
      <c r="F141" s="26"/>
      <c r="G141" s="26"/>
      <c r="H141" s="26"/>
      <c r="I141" s="26"/>
      <c r="J141" s="26"/>
      <c r="K141" s="26"/>
    </row>
    <row r="142">
      <c r="A142" s="111"/>
      <c r="B142" s="28"/>
      <c r="C142" s="28"/>
      <c r="D142" s="28"/>
      <c r="E142" s="28"/>
      <c r="F142" s="28"/>
      <c r="G142" s="28"/>
      <c r="H142" s="28"/>
      <c r="I142" s="28"/>
      <c r="J142" s="28"/>
      <c r="K142" s="28"/>
    </row>
    <row r="143">
      <c r="A143" s="13"/>
    </row>
    <row r="144">
      <c r="A144" s="13"/>
    </row>
    <row r="145">
      <c r="A145" s="13"/>
    </row>
    <row r="146">
      <c r="A146" s="111"/>
      <c r="B146" s="28"/>
      <c r="C146" s="28"/>
      <c r="D146" s="28"/>
      <c r="E146" s="28"/>
      <c r="F146" s="28"/>
      <c r="G146" s="28"/>
      <c r="H146" s="28"/>
      <c r="I146" s="28"/>
      <c r="J146" s="28"/>
      <c r="K146" s="28"/>
    </row>
    <row r="147">
      <c r="A147" s="110"/>
      <c r="B147" s="26"/>
      <c r="C147" s="26"/>
      <c r="D147" s="26"/>
      <c r="E147" s="26"/>
      <c r="F147" s="26"/>
      <c r="G147" s="26"/>
      <c r="H147" s="26"/>
      <c r="I147" s="26"/>
      <c r="J147" s="26"/>
      <c r="K147" s="26"/>
    </row>
    <row r="148">
      <c r="A148" s="111"/>
      <c r="B148" s="28"/>
      <c r="C148" s="28"/>
      <c r="D148" s="28"/>
      <c r="E148" s="28"/>
      <c r="F148" s="28"/>
      <c r="G148" s="28"/>
      <c r="H148" s="28"/>
      <c r="I148" s="28"/>
      <c r="J148" s="28"/>
      <c r="K148" s="28"/>
    </row>
    <row r="149">
      <c r="A149" s="110"/>
      <c r="B149" s="26"/>
      <c r="C149" s="26"/>
      <c r="D149" s="26"/>
      <c r="E149" s="26"/>
      <c r="F149" s="26"/>
      <c r="G149" s="26"/>
      <c r="H149" s="26"/>
      <c r="I149" s="26"/>
      <c r="J149" s="26"/>
      <c r="K149" s="26"/>
    </row>
    <row r="150">
      <c r="A150" s="111"/>
      <c r="B150" s="28"/>
      <c r="C150" s="28"/>
      <c r="D150" s="28"/>
      <c r="E150" s="28"/>
      <c r="F150" s="28"/>
      <c r="G150" s="28"/>
      <c r="H150" s="28"/>
      <c r="I150" s="28"/>
      <c r="J150" s="28"/>
      <c r="K150" s="28"/>
    </row>
    <row r="151">
      <c r="A151" s="13"/>
    </row>
    <row r="152">
      <c r="A152" s="13"/>
    </row>
    <row r="153">
      <c r="A153" s="13"/>
    </row>
    <row r="154">
      <c r="A154" s="111"/>
      <c r="B154" s="28"/>
      <c r="C154" s="28"/>
      <c r="D154" s="28"/>
      <c r="E154" s="28"/>
      <c r="F154" s="28"/>
      <c r="G154" s="28"/>
      <c r="H154" s="28"/>
      <c r="I154" s="28"/>
      <c r="J154" s="28"/>
      <c r="K154" s="28"/>
    </row>
    <row r="155">
      <c r="A155" s="110"/>
      <c r="B155" s="26"/>
      <c r="C155" s="26"/>
      <c r="D155" s="26"/>
      <c r="E155" s="26"/>
      <c r="F155" s="26"/>
      <c r="G155" s="26"/>
      <c r="H155" s="26"/>
      <c r="I155" s="26"/>
      <c r="J155" s="26"/>
      <c r="K155" s="26"/>
    </row>
    <row r="156">
      <c r="A156" s="111"/>
      <c r="B156" s="28"/>
      <c r="C156" s="28"/>
      <c r="D156" s="28"/>
      <c r="E156" s="28"/>
      <c r="F156" s="28"/>
      <c r="G156" s="28"/>
      <c r="H156" s="28"/>
      <c r="I156" s="28"/>
      <c r="J156" s="28"/>
      <c r="K156" s="28"/>
    </row>
    <row r="157">
      <c r="A157" s="110"/>
      <c r="B157" s="26"/>
      <c r="C157" s="26"/>
      <c r="D157" s="26"/>
      <c r="E157" s="26"/>
      <c r="F157" s="26"/>
      <c r="G157" s="26"/>
      <c r="H157" s="26"/>
      <c r="I157" s="26"/>
      <c r="J157" s="26"/>
      <c r="K157" s="26"/>
    </row>
    <row r="158">
      <c r="A158" s="111"/>
      <c r="B158" s="28"/>
      <c r="C158" s="28"/>
      <c r="D158" s="28"/>
      <c r="E158" s="28"/>
      <c r="F158" s="28"/>
      <c r="G158" s="28"/>
      <c r="H158" s="28"/>
      <c r="I158" s="28"/>
      <c r="J158" s="28"/>
      <c r="K158" s="28"/>
    </row>
    <row r="159">
      <c r="A159" s="13"/>
    </row>
    <row r="160">
      <c r="A160" s="13"/>
    </row>
    <row r="161">
      <c r="A161" s="13"/>
    </row>
    <row r="162">
      <c r="A162" s="111"/>
      <c r="B162" s="28"/>
      <c r="C162" s="28"/>
      <c r="D162" s="28"/>
      <c r="E162" s="28"/>
      <c r="F162" s="28"/>
      <c r="G162" s="28"/>
      <c r="H162" s="28"/>
      <c r="I162" s="28"/>
      <c r="J162" s="28"/>
      <c r="K162" s="28"/>
    </row>
    <row r="163">
      <c r="A163" s="110"/>
      <c r="B163" s="26"/>
      <c r="C163" s="26"/>
      <c r="D163" s="26"/>
      <c r="E163" s="26"/>
      <c r="F163" s="26"/>
      <c r="G163" s="26"/>
      <c r="H163" s="26"/>
      <c r="I163" s="26"/>
      <c r="J163" s="26"/>
      <c r="K163" s="26"/>
    </row>
    <row r="164">
      <c r="A164" s="111"/>
      <c r="B164" s="28"/>
      <c r="C164" s="28"/>
      <c r="D164" s="28"/>
      <c r="E164" s="28"/>
      <c r="F164" s="28"/>
      <c r="G164" s="28"/>
      <c r="H164" s="28"/>
      <c r="I164" s="28"/>
      <c r="J164" s="28"/>
      <c r="K164" s="28"/>
    </row>
    <row r="165">
      <c r="A165" s="110"/>
      <c r="B165" s="26"/>
      <c r="C165" s="26"/>
      <c r="D165" s="26"/>
      <c r="E165" s="26"/>
      <c r="F165" s="26"/>
      <c r="G165" s="26"/>
      <c r="H165" s="26"/>
      <c r="I165" s="26"/>
      <c r="J165" s="26"/>
      <c r="K165" s="26"/>
    </row>
    <row r="166">
      <c r="A166" s="111"/>
      <c r="B166" s="28"/>
      <c r="C166" s="28"/>
      <c r="D166" s="28"/>
      <c r="E166" s="28"/>
      <c r="F166" s="28"/>
      <c r="G166" s="28"/>
      <c r="H166" s="28"/>
      <c r="I166" s="28"/>
      <c r="J166" s="28"/>
      <c r="K166" s="28"/>
    </row>
    <row r="167">
      <c r="A167" s="13"/>
    </row>
    <row r="168">
      <c r="A168" s="13"/>
    </row>
    <row r="169">
      <c r="A169" s="13"/>
    </row>
    <row r="170">
      <c r="A170" s="111"/>
      <c r="B170" s="28"/>
      <c r="C170" s="28"/>
      <c r="D170" s="28"/>
      <c r="E170" s="28"/>
      <c r="F170" s="28"/>
      <c r="G170" s="28"/>
      <c r="H170" s="28"/>
      <c r="I170" s="28"/>
      <c r="J170" s="28"/>
      <c r="K170" s="28"/>
    </row>
    <row r="171">
      <c r="A171" s="110"/>
      <c r="B171" s="26"/>
      <c r="C171" s="26"/>
      <c r="D171" s="26"/>
      <c r="E171" s="26"/>
      <c r="F171" s="26"/>
      <c r="G171" s="26"/>
      <c r="H171" s="26"/>
      <c r="I171" s="26"/>
      <c r="J171" s="26"/>
      <c r="K171" s="26"/>
    </row>
    <row r="172">
      <c r="A172" s="111"/>
      <c r="B172" s="28"/>
      <c r="C172" s="28"/>
      <c r="D172" s="28"/>
      <c r="E172" s="28"/>
      <c r="F172" s="28"/>
      <c r="G172" s="28"/>
      <c r="H172" s="28"/>
      <c r="I172" s="28"/>
      <c r="J172" s="28"/>
      <c r="K172" s="28"/>
    </row>
    <row r="173">
      <c r="A173" s="110"/>
      <c r="B173" s="26"/>
      <c r="C173" s="26"/>
      <c r="D173" s="26"/>
      <c r="E173" s="26"/>
      <c r="F173" s="26"/>
      <c r="G173" s="26"/>
      <c r="H173" s="26"/>
      <c r="I173" s="26"/>
      <c r="J173" s="26"/>
      <c r="K173" s="26"/>
    </row>
    <row r="174">
      <c r="A174" s="111"/>
      <c r="B174" s="28"/>
      <c r="C174" s="28"/>
      <c r="D174" s="28"/>
      <c r="E174" s="28"/>
      <c r="F174" s="28"/>
      <c r="G174" s="28"/>
      <c r="H174" s="28"/>
      <c r="I174" s="28"/>
      <c r="J174" s="28"/>
      <c r="K174" s="28"/>
    </row>
    <row r="175">
      <c r="A175" s="13"/>
    </row>
    <row r="176">
      <c r="A176" s="13"/>
    </row>
    <row r="177">
      <c r="A177" s="13"/>
    </row>
    <row r="178">
      <c r="A178" s="111"/>
      <c r="B178" s="28"/>
      <c r="C178" s="28"/>
      <c r="D178" s="28"/>
      <c r="E178" s="28"/>
      <c r="F178" s="28"/>
      <c r="G178" s="28"/>
      <c r="H178" s="28"/>
      <c r="I178" s="28"/>
      <c r="J178" s="28"/>
      <c r="K178" s="28"/>
    </row>
    <row r="179">
      <c r="A179" s="110"/>
      <c r="B179" s="26"/>
      <c r="C179" s="26"/>
      <c r="D179" s="26"/>
      <c r="E179" s="26"/>
      <c r="F179" s="26"/>
      <c r="G179" s="26"/>
      <c r="H179" s="26"/>
      <c r="I179" s="26"/>
      <c r="J179" s="26"/>
      <c r="K179" s="26"/>
    </row>
    <row r="180">
      <c r="A180" s="111"/>
      <c r="B180" s="28"/>
      <c r="C180" s="28"/>
      <c r="D180" s="28"/>
      <c r="E180" s="28"/>
      <c r="F180" s="28"/>
      <c r="G180" s="28"/>
      <c r="H180" s="28"/>
      <c r="I180" s="28"/>
      <c r="J180" s="28"/>
      <c r="K180" s="28"/>
    </row>
    <row r="181">
      <c r="A181" s="110"/>
      <c r="B181" s="26"/>
      <c r="C181" s="26"/>
      <c r="D181" s="26"/>
      <c r="E181" s="26"/>
      <c r="F181" s="26"/>
      <c r="G181" s="26"/>
      <c r="H181" s="26"/>
      <c r="I181" s="26"/>
      <c r="J181" s="26"/>
      <c r="K181" s="26"/>
    </row>
    <row r="182">
      <c r="A182" s="111"/>
      <c r="B182" s="28"/>
      <c r="C182" s="28"/>
      <c r="D182" s="28"/>
      <c r="E182" s="28"/>
      <c r="F182" s="28"/>
      <c r="G182" s="28"/>
      <c r="H182" s="28"/>
      <c r="I182" s="28"/>
      <c r="J182" s="28"/>
      <c r="K182" s="28"/>
    </row>
    <row r="183">
      <c r="A183" s="13"/>
    </row>
    <row r="184">
      <c r="A184" s="13"/>
    </row>
    <row r="185">
      <c r="A185" s="1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1987</v>
      </c>
      <c r="B1" s="9" t="s">
        <v>1988</v>
      </c>
      <c r="C1" s="9" t="s">
        <v>1264</v>
      </c>
      <c r="D1" s="9" t="s">
        <v>1989</v>
      </c>
      <c r="E1" s="9" t="s">
        <v>1990</v>
      </c>
      <c r="F1" s="9" t="s">
        <v>1991</v>
      </c>
      <c r="G1" s="9" t="s">
        <v>1992</v>
      </c>
    </row>
    <row r="2">
      <c r="A2" s="9" t="s">
        <v>1118</v>
      </c>
      <c r="B2" s="9" t="s">
        <v>880</v>
      </c>
      <c r="C2" s="9" t="s">
        <v>1993</v>
      </c>
      <c r="D2" s="9" t="s">
        <v>1994</v>
      </c>
      <c r="E2" s="9" t="s">
        <v>1995</v>
      </c>
      <c r="F2" s="9" t="s">
        <v>1996</v>
      </c>
      <c r="G2" s="9" t="s">
        <v>1997</v>
      </c>
    </row>
    <row r="3">
      <c r="A3" s="9" t="s">
        <v>569</v>
      </c>
      <c r="B3" s="9" t="s">
        <v>880</v>
      </c>
      <c r="C3" s="112">
        <v>46328.47934027778</v>
      </c>
      <c r="D3" s="9" t="s">
        <v>1998</v>
      </c>
    </row>
    <row r="4">
      <c r="A4" s="9" t="s">
        <v>1077</v>
      </c>
      <c r="B4" s="9" t="s">
        <v>1096</v>
      </c>
      <c r="C4" s="112">
        <v>46328.47934027778</v>
      </c>
      <c r="D4" s="9" t="s">
        <v>1999</v>
      </c>
    </row>
    <row r="5">
      <c r="A5" s="9" t="s">
        <v>569</v>
      </c>
      <c r="B5" s="9" t="s">
        <v>1007</v>
      </c>
      <c r="C5" s="9" t="s">
        <v>2000</v>
      </c>
      <c r="E5" s="9" t="s">
        <v>1631</v>
      </c>
    </row>
    <row r="6">
      <c r="A6" s="9" t="s">
        <v>1077</v>
      </c>
      <c r="B6" s="9" t="s">
        <v>1533</v>
      </c>
      <c r="C6" s="9" t="s">
        <v>2001</v>
      </c>
      <c r="D6" s="9" t="s">
        <v>2002</v>
      </c>
    </row>
    <row r="7">
      <c r="A7" s="9" t="s">
        <v>1118</v>
      </c>
      <c r="B7" s="9" t="s">
        <v>1571</v>
      </c>
      <c r="C7" s="9" t="s">
        <v>2003</v>
      </c>
      <c r="D7" s="9" t="s">
        <v>2004</v>
      </c>
      <c r="E7" s="9" t="s">
        <v>1631</v>
      </c>
      <c r="F7" s="9" t="s">
        <v>2005</v>
      </c>
      <c r="G7" s="9" t="s">
        <v>2005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s>
  <sheetData>
    <row r="1">
      <c r="A1" s="113" t="s">
        <v>2006</v>
      </c>
    </row>
    <row r="2">
      <c r="A2" s="9" t="s">
        <v>2007</v>
      </c>
    </row>
    <row r="3">
      <c r="A3" s="9" t="s">
        <v>2008</v>
      </c>
    </row>
    <row r="4">
      <c r="A4" s="9" t="s">
        <v>2009</v>
      </c>
    </row>
    <row r="5">
      <c r="A5" s="9" t="s">
        <v>2010</v>
      </c>
    </row>
    <row r="6">
      <c r="A6" s="9" t="s">
        <v>2011</v>
      </c>
    </row>
    <row r="7">
      <c r="A7" s="9" t="s">
        <v>2012</v>
      </c>
    </row>
    <row r="8">
      <c r="A8" s="9" t="s">
        <v>2013</v>
      </c>
    </row>
    <row r="9">
      <c r="A9" s="9" t="s">
        <v>2014</v>
      </c>
    </row>
    <row r="10">
      <c r="A10" s="9" t="s">
        <v>2015</v>
      </c>
    </row>
    <row r="11">
      <c r="A11" s="9" t="s">
        <v>2016</v>
      </c>
    </row>
    <row r="12">
      <c r="A12" s="113" t="s">
        <v>2017</v>
      </c>
    </row>
    <row r="13">
      <c r="A13" s="9" t="s">
        <v>2018</v>
      </c>
    </row>
    <row r="14">
      <c r="A14" s="9" t="s">
        <v>2019</v>
      </c>
    </row>
    <row r="15">
      <c r="A15" s="9" t="s">
        <v>2020</v>
      </c>
    </row>
    <row r="16">
      <c r="A16" s="9" t="s">
        <v>2021</v>
      </c>
    </row>
    <row r="17">
      <c r="A17" s="9" t="s">
        <v>2022</v>
      </c>
    </row>
    <row r="18">
      <c r="A18" s="9" t="s">
        <v>2023</v>
      </c>
    </row>
    <row r="19">
      <c r="A19" s="9" t="s">
        <v>2024</v>
      </c>
    </row>
    <row r="20">
      <c r="A20" s="9" t="s">
        <v>2025</v>
      </c>
    </row>
    <row r="21">
      <c r="A21" s="9" t="s">
        <v>2026</v>
      </c>
    </row>
    <row r="22">
      <c r="A22" s="9" t="s">
        <v>2027</v>
      </c>
    </row>
    <row r="23">
      <c r="A23" s="113" t="s">
        <v>2028</v>
      </c>
    </row>
    <row r="24">
      <c r="A24" s="9" t="s">
        <v>2029</v>
      </c>
    </row>
    <row r="25">
      <c r="A25" s="9" t="s">
        <v>2030</v>
      </c>
    </row>
    <row r="26">
      <c r="A26" s="9" t="s">
        <v>2031</v>
      </c>
    </row>
    <row r="27">
      <c r="A27" s="9" t="s">
        <v>2032</v>
      </c>
    </row>
    <row r="28">
      <c r="A28" s="9" t="s">
        <v>2033</v>
      </c>
    </row>
    <row r="29">
      <c r="A29" s="9" t="s">
        <v>2034</v>
      </c>
    </row>
    <row r="30">
      <c r="A30" s="9" t="s">
        <v>2035</v>
      </c>
    </row>
    <row r="31">
      <c r="A31" s="9" t="s">
        <v>2036</v>
      </c>
    </row>
    <row r="32">
      <c r="A32" s="9" t="s">
        <v>2037</v>
      </c>
    </row>
    <row r="33">
      <c r="A33" s="9" t="s">
        <v>2038</v>
      </c>
    </row>
    <row r="34">
      <c r="A34" s="113" t="s">
        <v>2039</v>
      </c>
    </row>
    <row r="35">
      <c r="A35" s="9" t="s">
        <v>2040</v>
      </c>
    </row>
    <row r="36">
      <c r="A36" s="9" t="s">
        <v>2041</v>
      </c>
    </row>
    <row r="37">
      <c r="A37" s="9" t="s">
        <v>2042</v>
      </c>
    </row>
    <row r="38">
      <c r="A38" s="9" t="s">
        <v>2043</v>
      </c>
    </row>
    <row r="39">
      <c r="A39" s="9" t="s">
        <v>2044</v>
      </c>
    </row>
    <row r="40">
      <c r="A40" s="9" t="s">
        <v>2045</v>
      </c>
    </row>
    <row r="41">
      <c r="A41" s="9" t="s">
        <v>2046</v>
      </c>
    </row>
    <row r="42">
      <c r="A42" s="9" t="s">
        <v>2047</v>
      </c>
    </row>
    <row r="43">
      <c r="A43" s="9" t="s">
        <v>2048</v>
      </c>
    </row>
    <row r="44">
      <c r="A44" s="9" t="s">
        <v>2049</v>
      </c>
    </row>
    <row r="45">
      <c r="A45" s="113" t="s">
        <v>2050</v>
      </c>
    </row>
    <row r="46">
      <c r="A46" s="9" t="s">
        <v>2051</v>
      </c>
    </row>
    <row r="47">
      <c r="A47" s="9" t="s">
        <v>2052</v>
      </c>
    </row>
    <row r="48">
      <c r="A48" s="9" t="s">
        <v>2053</v>
      </c>
    </row>
    <row r="49">
      <c r="A49" s="9" t="s">
        <v>2054</v>
      </c>
    </row>
    <row r="50">
      <c r="A50" s="9" t="s">
        <v>2055</v>
      </c>
    </row>
    <row r="51">
      <c r="A51" s="9" t="s">
        <v>2056</v>
      </c>
    </row>
    <row r="52">
      <c r="A52" s="9" t="s">
        <v>2057</v>
      </c>
    </row>
    <row r="53">
      <c r="A53" s="9" t="s">
        <v>2058</v>
      </c>
    </row>
    <row r="54">
      <c r="A54" s="9" t="s">
        <v>2059</v>
      </c>
    </row>
    <row r="55">
      <c r="A55" s="9" t="s">
        <v>2060</v>
      </c>
    </row>
    <row r="56">
      <c r="A56" s="113" t="s">
        <v>2061</v>
      </c>
    </row>
    <row r="57">
      <c r="A57" s="9" t="s">
        <v>2062</v>
      </c>
    </row>
    <row r="58">
      <c r="A58" s="9" t="s">
        <v>2063</v>
      </c>
    </row>
    <row r="59">
      <c r="A59" s="9" t="s">
        <v>2064</v>
      </c>
    </row>
    <row r="60">
      <c r="A60" s="9" t="s">
        <v>2065</v>
      </c>
    </row>
    <row r="61">
      <c r="A61" s="9" t="s">
        <v>2066</v>
      </c>
    </row>
    <row r="62">
      <c r="A62" s="9" t="s">
        <v>2067</v>
      </c>
    </row>
    <row r="63">
      <c r="A63" s="9" t="s">
        <v>2068</v>
      </c>
    </row>
    <row r="64">
      <c r="A64" s="9" t="s">
        <v>2069</v>
      </c>
    </row>
    <row r="65">
      <c r="A65" s="9" t="s">
        <v>2070</v>
      </c>
    </row>
    <row r="66">
      <c r="A66" s="9" t="s">
        <v>2071</v>
      </c>
    </row>
    <row r="67">
      <c r="A67" s="113" t="s">
        <v>2072</v>
      </c>
    </row>
    <row r="68">
      <c r="A68" s="9" t="s">
        <v>2073</v>
      </c>
    </row>
    <row r="69">
      <c r="A69" s="9" t="s">
        <v>2074</v>
      </c>
    </row>
    <row r="70">
      <c r="A70" s="9" t="s">
        <v>2075</v>
      </c>
    </row>
    <row r="71">
      <c r="A71" s="9" t="s">
        <v>2076</v>
      </c>
    </row>
    <row r="72">
      <c r="A72" s="9" t="s">
        <v>2077</v>
      </c>
    </row>
    <row r="73">
      <c r="A73" s="9" t="s">
        <v>2078</v>
      </c>
    </row>
    <row r="74">
      <c r="A74" s="9" t="s">
        <v>2079</v>
      </c>
    </row>
    <row r="75">
      <c r="A75" s="9" t="s">
        <v>2080</v>
      </c>
    </row>
    <row r="76">
      <c r="A76" s="9" t="s">
        <v>2081</v>
      </c>
    </row>
    <row r="77">
      <c r="A77" s="9" t="s">
        <v>2082</v>
      </c>
    </row>
    <row r="78">
      <c r="A78" s="113" t="s">
        <v>2083</v>
      </c>
    </row>
    <row r="79">
      <c r="A79" s="9" t="s">
        <v>2084</v>
      </c>
    </row>
    <row r="80">
      <c r="A80" s="9" t="s">
        <v>2085</v>
      </c>
    </row>
    <row r="81">
      <c r="A81" s="9" t="s">
        <v>2086</v>
      </c>
    </row>
    <row r="82">
      <c r="A82" s="9" t="s">
        <v>2087</v>
      </c>
    </row>
    <row r="83">
      <c r="A83" s="9" t="s">
        <v>2088</v>
      </c>
    </row>
    <row r="84">
      <c r="A84" s="9" t="s">
        <v>2089</v>
      </c>
    </row>
    <row r="85">
      <c r="A85" s="9" t="s">
        <v>2090</v>
      </c>
    </row>
    <row r="86">
      <c r="A86" s="9" t="s">
        <v>2091</v>
      </c>
    </row>
    <row r="87">
      <c r="A87" s="9" t="s">
        <v>2092</v>
      </c>
    </row>
    <row r="88">
      <c r="A88" s="9" t="s">
        <v>2093</v>
      </c>
    </row>
    <row r="89">
      <c r="A89" s="113" t="s">
        <v>2094</v>
      </c>
    </row>
    <row r="90">
      <c r="A90" s="9" t="s">
        <v>2095</v>
      </c>
    </row>
    <row r="91">
      <c r="A91" s="9" t="s">
        <v>2096</v>
      </c>
    </row>
    <row r="92">
      <c r="A92" s="9" t="s">
        <v>2097</v>
      </c>
    </row>
    <row r="93">
      <c r="A93" s="9" t="s">
        <v>2098</v>
      </c>
    </row>
    <row r="94">
      <c r="A94" s="9" t="s">
        <v>2099</v>
      </c>
    </row>
    <row r="95">
      <c r="A95" s="9" t="s">
        <v>2100</v>
      </c>
    </row>
    <row r="96">
      <c r="A96" s="9" t="s">
        <v>2101</v>
      </c>
    </row>
    <row r="97">
      <c r="A97" s="9" t="s">
        <v>2102</v>
      </c>
    </row>
    <row r="98">
      <c r="A98" s="9" t="s">
        <v>2103</v>
      </c>
    </row>
    <row r="99">
      <c r="A99" s="9" t="s">
        <v>2104</v>
      </c>
    </row>
    <row r="100">
      <c r="A100" s="113" t="s">
        <v>2105</v>
      </c>
    </row>
    <row r="101">
      <c r="A101" s="9" t="s">
        <v>2106</v>
      </c>
    </row>
    <row r="102">
      <c r="A102" s="9" t="s">
        <v>2107</v>
      </c>
    </row>
    <row r="103">
      <c r="A103" s="9" t="s">
        <v>2108</v>
      </c>
    </row>
    <row r="104">
      <c r="A104" s="9" t="s">
        <v>2109</v>
      </c>
    </row>
    <row r="105">
      <c r="A105" s="9" t="s">
        <v>2110</v>
      </c>
    </row>
    <row r="106">
      <c r="A106" s="9" t="s">
        <v>2111</v>
      </c>
    </row>
    <row r="107">
      <c r="A107" s="9" t="s">
        <v>2112</v>
      </c>
    </row>
    <row r="108">
      <c r="A108" s="9" t="s">
        <v>2113</v>
      </c>
    </row>
    <row r="109">
      <c r="A109" s="9" t="s">
        <v>2114</v>
      </c>
    </row>
    <row r="110">
      <c r="A110" s="9" t="s">
        <v>2115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75"/>
    <col customWidth="1" min="6" max="6" width="403.25"/>
  </cols>
  <sheetData>
    <row r="1">
      <c r="A1" s="9" t="s">
        <v>1987</v>
      </c>
      <c r="B1" s="9" t="s">
        <v>1988</v>
      </c>
      <c r="C1" s="9" t="s">
        <v>1264</v>
      </c>
      <c r="D1" s="9" t="s">
        <v>2116</v>
      </c>
      <c r="E1" s="9" t="s">
        <v>2117</v>
      </c>
      <c r="F1" s="9" t="s">
        <v>2118</v>
      </c>
      <c r="G1" s="9" t="s">
        <v>2119</v>
      </c>
    </row>
    <row r="2">
      <c r="A2" s="9" t="s">
        <v>1118</v>
      </c>
      <c r="B2" s="9" t="s">
        <v>880</v>
      </c>
      <c r="C2" s="9" t="s">
        <v>2120</v>
      </c>
      <c r="D2" s="9" t="s">
        <v>2121</v>
      </c>
      <c r="E2" s="9" t="s">
        <v>2122</v>
      </c>
      <c r="F2" s="9" t="s">
        <v>2122</v>
      </c>
      <c r="G2" s="9" t="s">
        <v>1557</v>
      </c>
    </row>
    <row r="3">
      <c r="A3" s="9" t="s">
        <v>1118</v>
      </c>
      <c r="B3" s="9" t="s">
        <v>880</v>
      </c>
      <c r="C3" s="9" t="s">
        <v>2123</v>
      </c>
      <c r="D3" s="9" t="s">
        <v>2121</v>
      </c>
      <c r="E3" s="9" t="s">
        <v>2122</v>
      </c>
      <c r="F3" s="9" t="s">
        <v>2122</v>
      </c>
      <c r="G3" s="9" t="s">
        <v>1557</v>
      </c>
    </row>
    <row r="4">
      <c r="A4" s="9" t="s">
        <v>1118</v>
      </c>
      <c r="B4" s="9" t="s">
        <v>880</v>
      </c>
      <c r="C4" s="9" t="s">
        <v>2124</v>
      </c>
      <c r="D4" s="9" t="s">
        <v>2121</v>
      </c>
      <c r="E4" s="9" t="s">
        <v>2122</v>
      </c>
      <c r="F4" s="9" t="s">
        <v>2122</v>
      </c>
      <c r="G4" s="9" t="s">
        <v>1557</v>
      </c>
    </row>
    <row r="5">
      <c r="A5" s="9" t="s">
        <v>1118</v>
      </c>
      <c r="B5" s="9" t="s">
        <v>880</v>
      </c>
      <c r="C5" s="9" t="s">
        <v>2125</v>
      </c>
      <c r="D5" s="9" t="s">
        <v>2126</v>
      </c>
      <c r="E5" s="9" t="s">
        <v>2127</v>
      </c>
      <c r="F5" s="9" t="s">
        <v>2128</v>
      </c>
      <c r="G5" s="9" t="s">
        <v>1557</v>
      </c>
    </row>
    <row r="6">
      <c r="A6" s="9" t="s">
        <v>1118</v>
      </c>
      <c r="B6" s="9" t="s">
        <v>880</v>
      </c>
      <c r="C6" s="9" t="s">
        <v>2129</v>
      </c>
      <c r="D6" s="9" t="s">
        <v>2121</v>
      </c>
      <c r="E6" s="9" t="s">
        <v>2122</v>
      </c>
      <c r="F6" s="9" t="s">
        <v>2122</v>
      </c>
      <c r="G6" s="9" t="s">
        <v>1557</v>
      </c>
    </row>
    <row r="7">
      <c r="A7" s="9" t="s">
        <v>1118</v>
      </c>
      <c r="B7" s="9" t="s">
        <v>880</v>
      </c>
      <c r="C7" s="9" t="s">
        <v>2130</v>
      </c>
      <c r="D7" s="9" t="s">
        <v>2121</v>
      </c>
      <c r="E7" s="9" t="s">
        <v>2122</v>
      </c>
      <c r="F7" s="9" t="s">
        <v>2122</v>
      </c>
      <c r="G7" s="9" t="s">
        <v>1557</v>
      </c>
    </row>
    <row r="8">
      <c r="A8" s="9" t="s">
        <v>1118</v>
      </c>
      <c r="B8" s="9" t="s">
        <v>880</v>
      </c>
      <c r="C8" s="9" t="s">
        <v>2131</v>
      </c>
      <c r="D8" s="9" t="s">
        <v>2121</v>
      </c>
      <c r="E8" s="9" t="s">
        <v>2122</v>
      </c>
      <c r="F8" s="9" t="s">
        <v>2132</v>
      </c>
      <c r="G8" s="9" t="s">
        <v>1557</v>
      </c>
    </row>
    <row r="9">
      <c r="A9" s="9" t="s">
        <v>1118</v>
      </c>
      <c r="B9" s="9" t="s">
        <v>880</v>
      </c>
      <c r="C9" s="9" t="s">
        <v>2133</v>
      </c>
      <c r="D9" s="9" t="s">
        <v>2121</v>
      </c>
      <c r="E9" s="9" t="s">
        <v>2132</v>
      </c>
      <c r="F9" s="9" t="s">
        <v>2132</v>
      </c>
      <c r="G9" s="9" t="s">
        <v>1557</v>
      </c>
    </row>
    <row r="10">
      <c r="A10" s="9" t="s">
        <v>1118</v>
      </c>
      <c r="B10" s="9" t="s">
        <v>880</v>
      </c>
      <c r="C10" s="9" t="s">
        <v>2134</v>
      </c>
      <c r="D10" s="9" t="s">
        <v>2121</v>
      </c>
      <c r="E10" s="9" t="s">
        <v>2132</v>
      </c>
      <c r="F10" s="9" t="s">
        <v>2132</v>
      </c>
      <c r="G10" s="9" t="s">
        <v>1557</v>
      </c>
    </row>
    <row r="11">
      <c r="A11" s="9" t="s">
        <v>1118</v>
      </c>
      <c r="B11" s="9" t="s">
        <v>880</v>
      </c>
      <c r="C11" s="9" t="s">
        <v>2135</v>
      </c>
      <c r="D11" s="9" t="s">
        <v>2121</v>
      </c>
      <c r="E11" s="9" t="s">
        <v>2132</v>
      </c>
      <c r="F11" s="9" t="s">
        <v>2132</v>
      </c>
      <c r="G11" s="9" t="s">
        <v>1557</v>
      </c>
    </row>
    <row r="12">
      <c r="A12" s="9" t="s">
        <v>1118</v>
      </c>
      <c r="B12" s="9" t="s">
        <v>880</v>
      </c>
      <c r="C12" s="9" t="s">
        <v>2136</v>
      </c>
      <c r="D12" s="9" t="s">
        <v>2121</v>
      </c>
      <c r="E12" s="9" t="s">
        <v>2132</v>
      </c>
      <c r="F12" s="9" t="s">
        <v>2132</v>
      </c>
      <c r="G12" s="9" t="s">
        <v>1557</v>
      </c>
    </row>
    <row r="13">
      <c r="A13" s="9" t="s">
        <v>1118</v>
      </c>
      <c r="B13" s="9" t="s">
        <v>880</v>
      </c>
      <c r="C13" s="9" t="s">
        <v>2137</v>
      </c>
      <c r="D13" s="9" t="s">
        <v>2126</v>
      </c>
      <c r="E13" s="9" t="s">
        <v>2128</v>
      </c>
      <c r="F13" s="9" t="s">
        <v>2141</v>
      </c>
      <c r="G13" s="9" t="s">
        <v>1557</v>
      </c>
    </row>
    <row r="14">
      <c r="A14" s="9" t="s">
        <v>1118</v>
      </c>
      <c r="B14" s="9" t="s">
        <v>880</v>
      </c>
      <c r="C14" s="9" t="s">
        <v>2146</v>
      </c>
      <c r="D14" s="9" t="s">
        <v>2126</v>
      </c>
      <c r="E14" s="9" t="s">
        <v>2141</v>
      </c>
      <c r="F14" s="9" t="s">
        <v>2149</v>
      </c>
      <c r="G14" s="9" t="s">
        <v>1557</v>
      </c>
    </row>
    <row r="15">
      <c r="A15" s="9" t="s">
        <v>1118</v>
      </c>
      <c r="B15" s="9" t="s">
        <v>880</v>
      </c>
      <c r="C15" s="9" t="s">
        <v>2154</v>
      </c>
      <c r="D15" s="9" t="s">
        <v>2126</v>
      </c>
      <c r="E15" s="9" t="s">
        <v>2149</v>
      </c>
      <c r="F15" s="9" t="s">
        <v>2158</v>
      </c>
      <c r="G15" s="9" t="s">
        <v>1557</v>
      </c>
    </row>
    <row r="16">
      <c r="A16" s="9" t="s">
        <v>1118</v>
      </c>
      <c r="B16" s="9" t="s">
        <v>880</v>
      </c>
      <c r="C16" s="9" t="s">
        <v>2160</v>
      </c>
      <c r="D16" s="9" t="s">
        <v>2126</v>
      </c>
      <c r="E16" s="9" t="s">
        <v>2158</v>
      </c>
      <c r="F16" s="9" t="s">
        <v>2161</v>
      </c>
      <c r="G16" s="9" t="s">
        <v>1557</v>
      </c>
    </row>
    <row r="17">
      <c r="A17" s="9" t="s">
        <v>1118</v>
      </c>
      <c r="B17" s="9" t="s">
        <v>880</v>
      </c>
      <c r="C17" s="9" t="s">
        <v>2162</v>
      </c>
      <c r="D17" s="9" t="s">
        <v>2126</v>
      </c>
      <c r="E17" s="9" t="s">
        <v>2161</v>
      </c>
      <c r="F17" s="9" t="s">
        <v>2163</v>
      </c>
      <c r="G17" s="9" t="s">
        <v>1557</v>
      </c>
    </row>
    <row r="18">
      <c r="A18" s="9" t="s">
        <v>1118</v>
      </c>
      <c r="B18" s="9" t="s">
        <v>880</v>
      </c>
      <c r="C18" s="9" t="s">
        <v>2164</v>
      </c>
      <c r="D18" s="9" t="s">
        <v>2121</v>
      </c>
      <c r="E18" s="9" t="s">
        <v>2132</v>
      </c>
      <c r="F18" s="9" t="s">
        <v>2132</v>
      </c>
      <c r="G18" s="9" t="s">
        <v>1557</v>
      </c>
    </row>
    <row r="19">
      <c r="A19" s="9" t="s">
        <v>1118</v>
      </c>
      <c r="B19" s="9" t="s">
        <v>880</v>
      </c>
      <c r="C19" s="9" t="s">
        <v>2165</v>
      </c>
      <c r="D19" s="9" t="s">
        <v>2121</v>
      </c>
      <c r="E19" s="9" t="s">
        <v>2132</v>
      </c>
      <c r="F19" s="9" t="s">
        <v>2132</v>
      </c>
      <c r="G19" s="9" t="s">
        <v>1557</v>
      </c>
    </row>
    <row r="20">
      <c r="A20" s="9" t="s">
        <v>1118</v>
      </c>
      <c r="B20" s="9" t="s">
        <v>880</v>
      </c>
      <c r="C20" s="9" t="s">
        <v>2166</v>
      </c>
      <c r="D20" s="9" t="s">
        <v>2121</v>
      </c>
      <c r="E20" s="9" t="s">
        <v>2132</v>
      </c>
      <c r="F20" s="9" t="s">
        <v>2132</v>
      </c>
      <c r="G20" s="9" t="s">
        <v>1557</v>
      </c>
    </row>
    <row r="21">
      <c r="A21" s="9" t="s">
        <v>1118</v>
      </c>
      <c r="B21" s="9" t="s">
        <v>880</v>
      </c>
      <c r="C21" s="9" t="s">
        <v>2167</v>
      </c>
      <c r="D21" s="9" t="s">
        <v>2126</v>
      </c>
      <c r="E21" s="9" t="s">
        <v>2163</v>
      </c>
      <c r="F21" s="9" t="s">
        <v>2168</v>
      </c>
      <c r="G21" s="9" t="s">
        <v>1557</v>
      </c>
    </row>
    <row r="22">
      <c r="A22" s="9" t="s">
        <v>1118</v>
      </c>
      <c r="B22" s="9" t="s">
        <v>880</v>
      </c>
      <c r="C22" s="9" t="s">
        <v>2169</v>
      </c>
      <c r="D22" s="9" t="s">
        <v>2121</v>
      </c>
      <c r="E22" s="9" t="s">
        <v>2132</v>
      </c>
      <c r="F22" s="9" t="s">
        <v>2132</v>
      </c>
      <c r="G22" s="9" t="s">
        <v>1557</v>
      </c>
    </row>
    <row r="23">
      <c r="A23" s="9" t="s">
        <v>1118</v>
      </c>
      <c r="B23" s="9" t="s">
        <v>1571</v>
      </c>
      <c r="C23" s="9" t="s">
        <v>2170</v>
      </c>
      <c r="D23" s="9" t="s">
        <v>2121</v>
      </c>
      <c r="F23" s="9" t="s">
        <v>2171</v>
      </c>
      <c r="G23" s="9" t="s">
        <v>1557</v>
      </c>
    </row>
    <row r="24">
      <c r="A24" s="9" t="s">
        <v>1118</v>
      </c>
      <c r="B24" s="9" t="s">
        <v>1571</v>
      </c>
      <c r="C24" s="9" t="s">
        <v>2172</v>
      </c>
      <c r="D24" s="9" t="s">
        <v>2121</v>
      </c>
      <c r="E24" s="9" t="s">
        <v>2171</v>
      </c>
      <c r="F24" s="9" t="s">
        <v>2173</v>
      </c>
      <c r="G24" s="9" t="s">
        <v>1557</v>
      </c>
    </row>
    <row r="25">
      <c r="A25" s="9" t="s">
        <v>1118</v>
      </c>
      <c r="B25" s="9" t="s">
        <v>1571</v>
      </c>
      <c r="C25" s="9" t="s">
        <v>2174</v>
      </c>
      <c r="D25" s="9" t="s">
        <v>2121</v>
      </c>
      <c r="E25" s="9" t="s">
        <v>2173</v>
      </c>
      <c r="F25" s="9" t="s">
        <v>1631</v>
      </c>
      <c r="G25" s="9" t="s">
        <v>1557</v>
      </c>
    </row>
    <row r="26">
      <c r="A26" s="9" t="s">
        <v>1118</v>
      </c>
      <c r="B26" s="9" t="s">
        <v>1571</v>
      </c>
      <c r="C26" s="9" t="s">
        <v>2175</v>
      </c>
      <c r="D26" s="9" t="s">
        <v>2126</v>
      </c>
      <c r="F26" s="9" t="s">
        <v>2005</v>
      </c>
      <c r="G26" s="9" t="s">
        <v>1557</v>
      </c>
    </row>
    <row r="27">
      <c r="A27" s="9" t="s">
        <v>1118</v>
      </c>
      <c r="B27" s="9" t="s">
        <v>1571</v>
      </c>
      <c r="C27" s="9" t="s">
        <v>2176</v>
      </c>
      <c r="D27" s="9" t="s">
        <v>2177</v>
      </c>
      <c r="F27" s="9" t="s">
        <v>2005</v>
      </c>
      <c r="G27" s="9" t="s">
        <v>1557</v>
      </c>
    </row>
    <row r="28">
      <c r="A28" s="9" t="s">
        <v>1118</v>
      </c>
      <c r="B28" s="9" t="s">
        <v>1571</v>
      </c>
      <c r="C28" s="9" t="s">
        <v>2178</v>
      </c>
      <c r="D28" s="9" t="s">
        <v>2121</v>
      </c>
      <c r="E28" s="9" t="s">
        <v>1631</v>
      </c>
      <c r="F28" s="9" t="s">
        <v>2179</v>
      </c>
      <c r="G28" s="9" t="s">
        <v>1557</v>
      </c>
    </row>
    <row r="29">
      <c r="A29" s="9" t="s">
        <v>1118</v>
      </c>
      <c r="B29" s="9" t="s">
        <v>1571</v>
      </c>
      <c r="C29" s="9" t="s">
        <v>2180</v>
      </c>
      <c r="D29" s="9" t="s">
        <v>2121</v>
      </c>
      <c r="E29" s="9" t="s">
        <v>2179</v>
      </c>
      <c r="F29" s="9" t="s">
        <v>2181</v>
      </c>
      <c r="G29" s="9" t="s">
        <v>1557</v>
      </c>
    </row>
    <row r="30">
      <c r="A30" s="9" t="s">
        <v>1118</v>
      </c>
      <c r="B30" s="9" t="s">
        <v>1571</v>
      </c>
      <c r="C30" s="9" t="s">
        <v>2182</v>
      </c>
      <c r="D30" s="9" t="s">
        <v>2121</v>
      </c>
      <c r="E30" s="9" t="s">
        <v>2181</v>
      </c>
      <c r="F30" s="9" t="s">
        <v>2183</v>
      </c>
      <c r="G30" s="9" t="s">
        <v>1557</v>
      </c>
    </row>
    <row r="31">
      <c r="A31" s="9" t="s">
        <v>1118</v>
      </c>
      <c r="B31" s="9" t="s">
        <v>1571</v>
      </c>
      <c r="C31" s="9" t="s">
        <v>2184</v>
      </c>
      <c r="D31" s="9" t="s">
        <v>2121</v>
      </c>
      <c r="E31" s="9" t="s">
        <v>2183</v>
      </c>
      <c r="F31" s="9" t="s">
        <v>2185</v>
      </c>
      <c r="G31" s="9" t="s">
        <v>1557</v>
      </c>
    </row>
    <row r="32">
      <c r="A32" s="9" t="s">
        <v>1118</v>
      </c>
      <c r="B32" s="9" t="s">
        <v>1571</v>
      </c>
      <c r="C32" s="9" t="s">
        <v>2186</v>
      </c>
      <c r="D32" s="9" t="s">
        <v>2121</v>
      </c>
      <c r="E32" s="9" t="s">
        <v>2185</v>
      </c>
      <c r="F32" s="9" t="s">
        <v>2187</v>
      </c>
      <c r="G32" s="9" t="s">
        <v>1557</v>
      </c>
    </row>
    <row r="33">
      <c r="A33" s="9" t="s">
        <v>1118</v>
      </c>
      <c r="B33" s="9" t="s">
        <v>1571</v>
      </c>
      <c r="C33" s="9" t="s">
        <v>2188</v>
      </c>
      <c r="D33" s="9" t="s">
        <v>2121</v>
      </c>
      <c r="E33" s="9" t="s">
        <v>2187</v>
      </c>
      <c r="F33" s="9" t="s">
        <v>2187</v>
      </c>
      <c r="G33" s="9" t="s">
        <v>1557</v>
      </c>
    </row>
    <row r="34">
      <c r="A34" s="9" t="s">
        <v>1118</v>
      </c>
      <c r="B34" s="9" t="s">
        <v>1571</v>
      </c>
      <c r="C34" s="9" t="s">
        <v>2189</v>
      </c>
      <c r="D34" s="9" t="s">
        <v>2121</v>
      </c>
      <c r="E34" s="9" t="s">
        <v>2187</v>
      </c>
      <c r="F34" s="9" t="s">
        <v>2192</v>
      </c>
      <c r="G34" s="9" t="s">
        <v>1557</v>
      </c>
    </row>
    <row r="35">
      <c r="A35" s="9" t="s">
        <v>1118</v>
      </c>
      <c r="B35" s="9" t="s">
        <v>1571</v>
      </c>
      <c r="C35" s="9" t="s">
        <v>2195</v>
      </c>
      <c r="D35" s="9" t="s">
        <v>2121</v>
      </c>
      <c r="E35" s="9" t="s">
        <v>2192</v>
      </c>
      <c r="F35" s="9" t="s">
        <v>2198</v>
      </c>
      <c r="G35" s="9" t="s">
        <v>1557</v>
      </c>
    </row>
    <row r="36">
      <c r="A36" s="9" t="s">
        <v>1118</v>
      </c>
      <c r="B36" s="9" t="s">
        <v>880</v>
      </c>
      <c r="C36" s="9" t="s">
        <v>2201</v>
      </c>
      <c r="D36" s="9" t="s">
        <v>2121</v>
      </c>
      <c r="E36" s="9" t="s">
        <v>2132</v>
      </c>
      <c r="F36" s="9" t="s">
        <v>2132</v>
      </c>
      <c r="G36" s="9" t="s">
        <v>1557</v>
      </c>
    </row>
    <row r="37">
      <c r="A37" s="9" t="s">
        <v>1118</v>
      </c>
      <c r="B37" s="9" t="s">
        <v>880</v>
      </c>
      <c r="C37" s="9" t="s">
        <v>2202</v>
      </c>
      <c r="D37" s="9" t="s">
        <v>2121</v>
      </c>
      <c r="E37" s="9" t="s">
        <v>2132</v>
      </c>
      <c r="F37" s="9" t="s">
        <v>2132</v>
      </c>
      <c r="G37" s="9" t="s">
        <v>1557</v>
      </c>
    </row>
    <row r="38">
      <c r="A38" s="9" t="s">
        <v>1118</v>
      </c>
      <c r="B38" s="9" t="s">
        <v>880</v>
      </c>
      <c r="C38" s="9" t="s">
        <v>2203</v>
      </c>
      <c r="D38" s="9" t="s">
        <v>2121</v>
      </c>
      <c r="E38" s="9" t="s">
        <v>2132</v>
      </c>
      <c r="F38" s="9" t="s">
        <v>2132</v>
      </c>
      <c r="G38" s="9" t="s">
        <v>1557</v>
      </c>
    </row>
    <row r="39">
      <c r="A39" s="9" t="s">
        <v>1118</v>
      </c>
      <c r="B39" s="9" t="s">
        <v>880</v>
      </c>
      <c r="C39" s="9" t="s">
        <v>2204</v>
      </c>
      <c r="D39" s="9" t="s">
        <v>2121</v>
      </c>
      <c r="E39" s="9" t="s">
        <v>2132</v>
      </c>
      <c r="F39" s="9" t="s">
        <v>2132</v>
      </c>
      <c r="G39" s="9" t="s">
        <v>1557</v>
      </c>
    </row>
    <row r="40">
      <c r="A40" s="9" t="s">
        <v>1118</v>
      </c>
      <c r="B40" s="9" t="s">
        <v>880</v>
      </c>
      <c r="C40" s="9" t="s">
        <v>2205</v>
      </c>
      <c r="D40" s="9" t="s">
        <v>2121</v>
      </c>
      <c r="E40" s="9" t="s">
        <v>2132</v>
      </c>
      <c r="F40" s="9" t="s">
        <v>2132</v>
      </c>
      <c r="G40" s="9" t="s">
        <v>1557</v>
      </c>
    </row>
    <row r="41">
      <c r="A41" s="9" t="s">
        <v>1118</v>
      </c>
      <c r="B41" s="9" t="s">
        <v>880</v>
      </c>
      <c r="C41" s="9" t="s">
        <v>2206</v>
      </c>
      <c r="D41" s="9" t="s">
        <v>2121</v>
      </c>
      <c r="E41" s="9" t="s">
        <v>2132</v>
      </c>
      <c r="F41" s="9" t="s">
        <v>2207</v>
      </c>
      <c r="G41" s="9" t="s">
        <v>1557</v>
      </c>
    </row>
    <row r="42">
      <c r="A42" s="9" t="s">
        <v>1118</v>
      </c>
      <c r="B42" s="9" t="s">
        <v>880</v>
      </c>
      <c r="C42" s="9" t="s">
        <v>2208</v>
      </c>
      <c r="D42" s="9" t="s">
        <v>2121</v>
      </c>
      <c r="E42" s="9" t="s">
        <v>2207</v>
      </c>
      <c r="F42" s="9" t="s">
        <v>2209</v>
      </c>
      <c r="G42" s="9" t="s">
        <v>1557</v>
      </c>
    </row>
    <row r="43">
      <c r="A43" s="9" t="s">
        <v>1118</v>
      </c>
      <c r="B43" s="9" t="s">
        <v>880</v>
      </c>
      <c r="C43" s="9" t="s">
        <v>2210</v>
      </c>
      <c r="D43" s="9" t="s">
        <v>2121</v>
      </c>
      <c r="E43" s="9" t="s">
        <v>2209</v>
      </c>
      <c r="F43" s="9" t="s">
        <v>2211</v>
      </c>
      <c r="G43" s="9" t="s">
        <v>1557</v>
      </c>
    </row>
    <row r="44">
      <c r="A44" s="9" t="s">
        <v>1118</v>
      </c>
      <c r="B44" s="9" t="s">
        <v>880</v>
      </c>
      <c r="C44" s="9" t="s">
        <v>2212</v>
      </c>
      <c r="D44" s="9" t="s">
        <v>2121</v>
      </c>
      <c r="E44" s="9" t="s">
        <v>2211</v>
      </c>
      <c r="F44" s="9" t="s">
        <v>2213</v>
      </c>
      <c r="G44" s="9" t="s">
        <v>1557</v>
      </c>
    </row>
    <row r="45">
      <c r="A45" s="9" t="s">
        <v>1118</v>
      </c>
      <c r="B45" s="9" t="s">
        <v>1571</v>
      </c>
      <c r="C45" s="9" t="s">
        <v>2003</v>
      </c>
      <c r="D45" s="9" t="s">
        <v>2121</v>
      </c>
      <c r="E45" s="9" t="s">
        <v>2198</v>
      </c>
      <c r="F45" s="9" t="s">
        <v>1631</v>
      </c>
      <c r="G45" s="9" t="s">
        <v>1557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2138</v>
      </c>
      <c r="C1" s="2" t="s">
        <v>2139</v>
      </c>
      <c r="D1" s="2" t="s">
        <v>2140</v>
      </c>
      <c r="E1" s="2" t="s">
        <v>2142</v>
      </c>
      <c r="F1" s="2" t="s">
        <v>2143</v>
      </c>
      <c r="G1" s="2" t="s">
        <v>2144</v>
      </c>
      <c r="H1" s="2" t="s">
        <v>2145</v>
      </c>
      <c r="I1" s="2" t="s">
        <v>2147</v>
      </c>
    </row>
    <row r="2">
      <c r="A2" s="12">
        <v>2.0</v>
      </c>
      <c r="B2" s="9" t="s">
        <v>596</v>
      </c>
      <c r="C2" s="9" t="s">
        <v>2148</v>
      </c>
      <c r="D2" s="9" t="s">
        <v>2150</v>
      </c>
      <c r="E2" s="9" t="s">
        <v>2151</v>
      </c>
      <c r="F2" s="9" t="s">
        <v>677</v>
      </c>
      <c r="G2" s="9" t="s">
        <v>2152</v>
      </c>
      <c r="H2" s="9" t="s">
        <v>2153</v>
      </c>
      <c r="I2" s="13">
        <v>46115.702978437504</v>
      </c>
    </row>
    <row r="3">
      <c r="A3" s="12">
        <v>3.0</v>
      </c>
      <c r="B3" s="9" t="s">
        <v>880</v>
      </c>
      <c r="C3" s="9" t="s">
        <v>2155</v>
      </c>
      <c r="D3" s="9" t="s">
        <v>2156</v>
      </c>
      <c r="E3" s="9" t="s">
        <v>2157</v>
      </c>
      <c r="F3" s="9" t="s">
        <v>75</v>
      </c>
      <c r="G3" s="9" t="s">
        <v>2159</v>
      </c>
      <c r="H3" s="9" t="s">
        <v>2153</v>
      </c>
      <c r="I3" s="13">
        <v>46127.6761841088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5" max="5" width="59.5"/>
  </cols>
  <sheetData>
    <row r="1">
      <c r="A1" s="2" t="s">
        <v>0</v>
      </c>
      <c r="B1" s="2" t="s">
        <v>2190</v>
      </c>
      <c r="C1" s="2" t="s">
        <v>2191</v>
      </c>
      <c r="D1" s="2" t="s">
        <v>1844</v>
      </c>
      <c r="E1" s="2" t="s">
        <v>2193</v>
      </c>
      <c r="F1" s="2" t="s">
        <v>51</v>
      </c>
      <c r="G1" s="2" t="s">
        <v>2194</v>
      </c>
      <c r="H1" s="9" t="s">
        <v>2196</v>
      </c>
    </row>
    <row r="2">
      <c r="A2" s="9">
        <v>1.0</v>
      </c>
      <c r="B2" s="9" t="s">
        <v>2197</v>
      </c>
      <c r="D2" s="9" t="s">
        <v>2199</v>
      </c>
      <c r="E2" s="9" t="s">
        <v>2200</v>
      </c>
      <c r="F2" s="9" t="s">
        <v>72</v>
      </c>
      <c r="G2" s="13">
        <v>46114.55618023148</v>
      </c>
      <c r="H2" s="12">
        <v>5.0</v>
      </c>
    </row>
  </sheetData>
  <drawing r:id="rId1"/>
</worksheet>
</file>